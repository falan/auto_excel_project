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45" windowWidth="11790" windowHeight="4095"/>
  </bookViews>
  <sheets>
    <sheet name="project_name" sheetId="27" r:id="rId1"/>
  </sheets>
  <externalReferences>
    <externalReference r:id="rId2"/>
    <externalReference r:id="rId3"/>
    <externalReference r:id="rId4"/>
    <externalReference r:id="rId5"/>
    <externalReference r:id="rId6"/>
    <externalReference r:id="rId7"/>
  </externalReferences>
  <definedNames>
    <definedName name="_prj_chart_start_date">project_name!$F$3</definedName>
    <definedName name="_prj_end_date">project_name!$D$2</definedName>
    <definedName name="_prj_item">project_name!$A$2</definedName>
    <definedName name="_prj_start_date">project_name!$C$2</definedName>
    <definedName name="A">'[1]Wo-Ges.'!#REF!</definedName>
    <definedName name="AA">#REF!</definedName>
    <definedName name="B">'[1]Wo-Ges.'!$R$3:$U$9</definedName>
    <definedName name="Ber.320">'[1]320'!$A$6:$T$33</definedName>
    <definedName name="Ber.411">'[1]411'!$A$6:$T$33</definedName>
    <definedName name="Ber.412">'[1]412'!$A$1:$T$33</definedName>
    <definedName name="Ber.413">'[1]413'!$A$6:$T$33</definedName>
    <definedName name="Ber.414">'[1]414'!$A$6:$T$33</definedName>
    <definedName name="Ber.415">'[1]415'!$A$6:$T$33</definedName>
    <definedName name="Ber.416">'[1]416'!$A$6:$T$33</definedName>
    <definedName name="Ber.417">'[1]417'!$A$6:$T$33</definedName>
    <definedName name="Ber.418">'[1]418'!$A$6:$T$33</definedName>
    <definedName name="Ber.425">'[1]425'!$A$6:$T$33</definedName>
    <definedName name="Ber.426">'[1]426'!$A$6:$T$33</definedName>
    <definedName name="Ber.431">'[1]431'!$A$6:$T$33</definedName>
    <definedName name="Ber.433">'[1]433'!$A$6:$T$33</definedName>
    <definedName name="Ber.550">'[1]550'!$A$6:$T$33</definedName>
    <definedName name="Bereich">'[2]Param B3-1'!$A$1:$AP$98</definedName>
    <definedName name="Chamber_Sharing_Faktor">'[3]IFD3 Fur 110nm 90nm 70nm'!#REF!</definedName>
    <definedName name="D">'[4]Wo-Ges'!#REF!</definedName>
    <definedName name="DD">'[1]Wo-Ges.'!$R$3:$U$9</definedName>
    <definedName name="E">'[1]418'!$A$6:$T$33</definedName>
    <definedName name="F">'[1]320'!$A$6:$T$33</definedName>
    <definedName name="G">'[1]411'!$A$6:$T$33</definedName>
    <definedName name="h">'[1]412'!$A$1:$T$33</definedName>
    <definedName name="I">'[1]433'!$A$6:$T$33</definedName>
    <definedName name="J">'[1]413'!$A$6:$T$33</definedName>
    <definedName name="Jobstep">'[3]IFD3 Fur 110nm 90nm 70nm'!#REF!</definedName>
    <definedName name="K">'[1]414'!$A$6:$T$33</definedName>
    <definedName name="L">'[1]415'!$A$6:$T$33</definedName>
    <definedName name="Loading_Boat__1_lot">'[3]IFD3 Fur 110nm 90nm 70nm'!#REF!</definedName>
    <definedName name="Loading_By_Tool__1_lot___Current">'[3]IFD3 Fur 110nm 90nm 70nm'!#REF!</definedName>
    <definedName name="Loading_By_Tool__1_lot___Target">'[3]IFD3 Fur 110nm 90nm 70nm'!#REF!</definedName>
    <definedName name="M">'[1]Wo-Ges.'!#REF!</definedName>
    <definedName name="MIPA">'[1]414'!$A$6:$T$33</definedName>
    <definedName name="Move_Out_Booking__Max._Load">'[3]IFD3 Fur 110nm 90nm 70nm'!#REF!</definedName>
    <definedName name="MTSN">#REF!</definedName>
    <definedName name="NVLS">#REF!</definedName>
    <definedName name="O">'[1]550'!$A$6:$T$33</definedName>
    <definedName name="P">'[2]Param B3-1'!$A$1:$AP$98</definedName>
    <definedName name="POR__STEP">'[3]IFD3 Fur 110nm 90nm 70nm'!#REF!</definedName>
    <definedName name="Post_Process_Steps">'[3]IFD3 Fur 110nm 90nm 70nm'!#REF!</definedName>
    <definedName name="Pre_Process_Steps">'[3]IFD3 Fur 110nm 90nm 70nm'!#REF!</definedName>
    <definedName name="_xlnm.Print_Area" localSheetId="0">project_name!$A$1:$DW$20</definedName>
    <definedName name="Process_Description__Sequence_thickness__temperature__Production_and_blanket_Wafer">'[3]IFD3 Fur 110nm 90nm 70nm'!#REF!</definedName>
    <definedName name="Process_Name">'[3]IFD3 Fur 110nm 90nm 70nm'!#REF!</definedName>
    <definedName name="Prod.Sch.16MBer.">'[1]Wo-Ges.'!#REF!</definedName>
    <definedName name="Q">'[1]416'!$A$6:$T$33</definedName>
    <definedName name="Recipe_ID">'[3]IFD3 Fur 110nm 90nm 70nm'!#REF!</definedName>
    <definedName name="Refernece_Tool_ID">'[3]IFD3 Fur 110nm 90nm 70nm'!#REF!</definedName>
    <definedName name="Rework____of_Total_Moves">'[3]IFD3 Fur 110nm 90nm 70nm'!#REF!</definedName>
    <definedName name="Sollber">#REF!</definedName>
    <definedName name="SS">'[1]Wo-Ges.'!#REF!</definedName>
    <definedName name="T">'[1]425'!$A$6:$T$33</definedName>
    <definedName name="test">'[1]Wo-Ges.'!#REF!</definedName>
    <definedName name="Total_Number_of_availible_chambers_per_Tool">'[3]IFD3 Fur 110nm 90nm 70nm'!#REF!</definedName>
    <definedName name="Total_Number_of_Tools_per_group">'[3]IFD3 Fur 110nm 90nm 70nm'!#REF!</definedName>
    <definedName name="Total_Number_of_used_chambers_per_Tool">'[3]IFD3 Fur 110nm 90nm 70nm'!#REF!</definedName>
    <definedName name="Total_Number_of_used_Tools_per_group">'[3]IFD3 Fur 110nm 90nm 70nm'!#REF!</definedName>
    <definedName name="U">'[1]431'!$A$6:$T$33</definedName>
    <definedName name="Unloading_Boat__1_lot">'[3]IFD3 Fur 110nm 90nm 70nm'!#REF!</definedName>
    <definedName name="Unloading_By_Tool__1_lot___Current">'[3]IFD3 Fur 110nm 90nm 70nm'!#REF!</definedName>
    <definedName name="W">'[1]417'!$A$6:$T$33</definedName>
    <definedName name="Wafer_between_in_situ_clean">'[3]IFD3 Fur 110nm 90nm 70nm'!#REF!</definedName>
    <definedName name="Wafer_Transfer_From_Process_Area__1_lot">'[3]IFD3 Fur 110nm 90nm 70nm'!#REF!</definedName>
    <definedName name="wspm">'[5]Main Sheet Inputs &amp; Results'!$F$4</definedName>
    <definedName name="Y">'[1]426'!$A$6:$T$33</definedName>
    <definedName name="Zeitbereich">'[1]Wo-Ges.'!$R$3:$U$9</definedName>
    <definedName name="ZeitbereichRecy.">[6]Seite_1!$B$5:$D$11</definedName>
    <definedName name="ZeitbereichTest">'[4]Wo-Ges'!#REF!</definedName>
  </definedNames>
  <calcPr calcId="124519" iterate="1"/>
</workbook>
</file>

<file path=xl/calcChain.xml><?xml version="1.0" encoding="utf-8"?>
<calcChain xmlns="http://schemas.openxmlformats.org/spreadsheetml/2006/main">
  <c r="D13" i="27"/>
  <c r="E13" s="1"/>
  <c r="C14"/>
  <c r="D14"/>
  <c r="C15" s="1"/>
  <c r="D15" s="1"/>
  <c r="C18"/>
  <c r="D18"/>
  <c r="C19" s="1"/>
  <c r="D19" s="1"/>
  <c r="D5"/>
  <c r="E11"/>
  <c r="E6"/>
  <c r="E7"/>
  <c r="E8"/>
  <c r="E9"/>
  <c r="E10"/>
  <c r="E12"/>
  <c r="E4"/>
  <c r="E5"/>
  <c r="E14"/>
  <c r="C20" l="1"/>
  <c r="D20" s="1"/>
  <c r="E20" s="1"/>
  <c r="E19"/>
  <c r="C16"/>
  <c r="D16" s="1"/>
  <c r="E15"/>
  <c r="E18"/>
  <c r="E16" l="1"/>
  <c r="C17"/>
  <c r="D17" s="1"/>
  <c r="E17" s="1"/>
</calcChain>
</file>

<file path=xl/sharedStrings.xml><?xml version="1.0" encoding="utf-8"?>
<sst xmlns="http://schemas.openxmlformats.org/spreadsheetml/2006/main" count="23" uniqueCount="23">
  <si>
    <t>CTW</t>
    <phoneticPr fontId="2" type="noConversion"/>
  </si>
  <si>
    <t>PCW</t>
    <phoneticPr fontId="2" type="noConversion"/>
  </si>
  <si>
    <t>CDA</t>
    <phoneticPr fontId="2" type="noConversion"/>
  </si>
  <si>
    <t>DIW</t>
    <phoneticPr fontId="2" type="noConversion"/>
  </si>
  <si>
    <t>20130730_xxxxx</t>
    <phoneticPr fontId="2" type="noConversion"/>
  </si>
  <si>
    <t>Move in</t>
    <phoneticPr fontId="2" type="noConversion"/>
  </si>
  <si>
    <r>
      <t xml:space="preserve">1.1 </t>
    </r>
    <r>
      <rPr>
        <b/>
        <sz val="11"/>
        <color indexed="19"/>
        <rFont val="NSimSun"/>
        <family val="3"/>
        <charset val="134"/>
      </rPr>
      <t>超声波焊接</t>
    </r>
    <r>
      <rPr>
        <b/>
        <sz val="11"/>
        <color indexed="19"/>
        <rFont val="Tahoma"/>
        <family val="2"/>
      </rPr>
      <t>+</t>
    </r>
    <r>
      <rPr>
        <b/>
        <sz val="11"/>
        <color indexed="19"/>
        <rFont val="NSimSun"/>
        <family val="3"/>
        <charset val="134"/>
      </rPr>
      <t>合片机安装</t>
    </r>
    <phoneticPr fontId="2" type="noConversion"/>
  </si>
  <si>
    <r>
      <t xml:space="preserve">1.2 </t>
    </r>
    <r>
      <rPr>
        <b/>
        <sz val="11"/>
        <color indexed="19"/>
        <rFont val="NSimSun"/>
        <family val="3"/>
        <charset val="134"/>
      </rPr>
      <t>超声波焊接</t>
    </r>
    <r>
      <rPr>
        <b/>
        <sz val="11"/>
        <color indexed="19"/>
        <rFont val="Tahoma"/>
        <family val="2"/>
      </rPr>
      <t>+</t>
    </r>
    <r>
      <rPr>
        <b/>
        <sz val="11"/>
        <color indexed="19"/>
        <rFont val="NSimSun"/>
        <family val="3"/>
        <charset val="134"/>
      </rPr>
      <t>合片机配管配线</t>
    </r>
    <phoneticPr fontId="2" type="noConversion"/>
  </si>
  <si>
    <r>
      <t xml:space="preserve">1.3 </t>
    </r>
    <r>
      <rPr>
        <b/>
        <sz val="11"/>
        <color indexed="19"/>
        <rFont val="NSimSun"/>
        <family val="3"/>
        <charset val="134"/>
      </rPr>
      <t>超声波焊接</t>
    </r>
    <r>
      <rPr>
        <b/>
        <sz val="11"/>
        <color indexed="19"/>
        <rFont val="Tahoma"/>
        <family val="2"/>
      </rPr>
      <t>+</t>
    </r>
    <r>
      <rPr>
        <b/>
        <sz val="11"/>
        <color indexed="19"/>
        <rFont val="NSimSun"/>
        <family val="3"/>
        <charset val="134"/>
      </rPr>
      <t>合片机单机调试</t>
    </r>
    <phoneticPr fontId="2" type="noConversion"/>
  </si>
  <si>
    <r>
      <t xml:space="preserve">1.4 </t>
    </r>
    <r>
      <rPr>
        <b/>
        <sz val="11"/>
        <color indexed="19"/>
        <rFont val="NSimSun"/>
        <family val="3"/>
        <charset val="134"/>
      </rPr>
      <t>超声波焊接</t>
    </r>
    <r>
      <rPr>
        <b/>
        <sz val="11"/>
        <color indexed="19"/>
        <rFont val="Tahoma"/>
        <family val="2"/>
      </rPr>
      <t>+</t>
    </r>
    <r>
      <rPr>
        <b/>
        <sz val="11"/>
        <color indexed="19"/>
        <rFont val="NSimSun"/>
        <family val="3"/>
        <charset val="134"/>
      </rPr>
      <t>合片机单机验收</t>
    </r>
    <phoneticPr fontId="2" type="noConversion"/>
  </si>
  <si>
    <t>Start Date</t>
    <phoneticPr fontId="2" type="noConversion"/>
  </si>
  <si>
    <t>End Date</t>
    <phoneticPr fontId="2" type="noConversion"/>
  </si>
  <si>
    <t>Work days</t>
    <phoneticPr fontId="2" type="noConversion"/>
  </si>
  <si>
    <t>Example 1</t>
    <phoneticPr fontId="2" type="noConversion"/>
  </si>
  <si>
    <t>abcde</t>
    <phoneticPr fontId="2" type="noConversion"/>
  </si>
  <si>
    <t>2.1 xxx Installation</t>
    <phoneticPr fontId="2" type="noConversion"/>
  </si>
  <si>
    <t>2.2 xxx Move in</t>
    <phoneticPr fontId="2" type="noConversion"/>
  </si>
  <si>
    <t>2.3 xxx abc</t>
    <phoneticPr fontId="2" type="noConversion"/>
  </si>
  <si>
    <t>Special Gas</t>
    <phoneticPr fontId="2" type="noConversion"/>
  </si>
  <si>
    <t>Clean Room</t>
    <phoneticPr fontId="2" type="noConversion"/>
  </si>
  <si>
    <t>Electric</t>
    <phoneticPr fontId="2" type="noConversion"/>
  </si>
  <si>
    <t>负责人</t>
    <phoneticPr fontId="2" type="noConversion"/>
  </si>
  <si>
    <t>Project Item</t>
    <phoneticPr fontId="2" type="noConversion"/>
  </si>
</sst>
</file>

<file path=xl/styles.xml><?xml version="1.0" encoding="utf-8"?>
<styleSheet xmlns="http://schemas.openxmlformats.org/spreadsheetml/2006/main">
  <numFmts count="30">
    <numFmt numFmtId="176" formatCode="_-&quot;$&quot;* #,##0_-;\-&quot;$&quot;* #,##0_-;_-&quot;$&quot;* &quot;-&quot;_-;_-@_-"/>
    <numFmt numFmtId="177" formatCode="_(&quot;$&quot;* #,##0_);_(&quot;$&quot;* \(#,##0\);_(&quot;$&quot;* &quot;-&quot;_);_(@_)"/>
    <numFmt numFmtId="178" formatCode="_(&quot;$&quot;* #,##0.00_);_(&quot;$&quot;* \(#,##0.00\);_(&quot;$&quot;* &quot;-&quot;??_);_(@_)"/>
    <numFmt numFmtId="179" formatCode="#,##0\ &quot;DM&quot;;[Red]\-#,##0\ &quot;DM&quot;"/>
    <numFmt numFmtId="180" formatCode="#,##0.00\ &quot;DM&quot;;[Red]\-#,##0.00\ &quot;DM&quot;"/>
    <numFmt numFmtId="181" formatCode="_-* #,##0.00\ &quot;DM&quot;_-;\-* #,##0.00\ &quot;DM&quot;_-;_-* &quot;-&quot;??\ &quot;DM&quot;_-;_-@_-"/>
    <numFmt numFmtId="182" formatCode="_-* #,##0.00\ _D_M_-;\-* #,##0.00\ _D_M_-;_-* &quot;-&quot;??\ _D_M_-;_-@_-"/>
    <numFmt numFmtId="183" formatCode="0.000"/>
    <numFmt numFmtId="184" formatCode="General_)"/>
    <numFmt numFmtId="185" formatCode="0.0000E+00"/>
    <numFmt numFmtId="186" formatCode="0.00\ "/>
    <numFmt numFmtId="187" formatCode="0.000\ "/>
    <numFmt numFmtId="188" formatCode="\+\ #&quot;' &quot;000&quot;.&quot;;\-\ #&quot;' &quot;000&quot;.&quot;"/>
    <numFmt numFmtId="189" formatCode="\+\ #&quot;' &quot;000&quot;.&quot;;[Red]\-\ #&quot;' &quot;000&quot;.&quot;"/>
    <numFmt numFmtId="190" formatCode="#,##0.000\ "/>
    <numFmt numFmtId="191" formatCode="#,##0.0000\ "/>
    <numFmt numFmtId="192" formatCode="#,##0.00000\ "/>
    <numFmt numFmtId="193" formatCode="_(* #,##0.0_);_(* \(#,##0.0\);_(* &quot;-&quot;??_);_(@_)"/>
    <numFmt numFmtId="194" formatCode="#\'#"/>
    <numFmt numFmtId="195" formatCode="##,##0"/>
    <numFmt numFmtId="196" formatCode="#,##0\ _D_M"/>
    <numFmt numFmtId="197" formatCode="#,##0.00\ _D_M"/>
    <numFmt numFmtId="198" formatCode="_ * #,##0_)&quot;£&quot;_ ;_ * \(#,##0\)&quot;£&quot;_ ;_ * &quot;-&quot;_)&quot;£&quot;_ ;_ @_ "/>
    <numFmt numFmtId="199" formatCode="_ * #,##0_)_£_ ;_ * \(#,##0\)_£_ ;_ * &quot;-&quot;_)_£_ ;_ @_ "/>
    <numFmt numFmtId="200" formatCode="_ * #,##0.00_)&quot;£&quot;_ ;_ * \(#,##0.00\)&quot;£&quot;_ ;_ * &quot;-&quot;??_)&quot;£&quot;_ ;_ @_ "/>
    <numFmt numFmtId="201" formatCode="_ * #,##0.00_)_£_ ;_ * \(#,##0.00\)_£_ ;_ * &quot;-&quot;??_)_£_ ;_ @_ "/>
    <numFmt numFmtId="202" formatCode="m/d"/>
    <numFmt numFmtId="203" formatCode="d"/>
    <numFmt numFmtId="204" formatCode="#\ &quot;days&quot;"/>
    <numFmt numFmtId="205" formatCode="yyyy/mm"/>
  </numFmts>
  <fonts count="34">
    <font>
      <sz val="12"/>
      <name val="Arial"/>
      <family val="2"/>
    </font>
    <font>
      <b/>
      <sz val="12"/>
      <name val="Arial"/>
      <family val="2"/>
    </font>
    <font>
      <sz val="9"/>
      <name val="新細明體"/>
      <family val="1"/>
      <charset val="136"/>
    </font>
    <font>
      <sz val="8"/>
      <name val="Arial"/>
      <family val="2"/>
    </font>
    <font>
      <sz val="8"/>
      <name val="Times New Roman"/>
      <family val="1"/>
    </font>
    <font>
      <u/>
      <sz val="10"/>
      <color indexed="14"/>
      <name val="MS Sans Serif"/>
      <family val="2"/>
    </font>
    <font>
      <sz val="10"/>
      <name val="Arial"/>
      <family val="2"/>
    </font>
    <font>
      <sz val="9"/>
      <name val="Times New Roman"/>
      <family val="1"/>
    </font>
    <font>
      <sz val="10"/>
      <color indexed="8"/>
      <name val="Arial"/>
      <family val="2"/>
    </font>
    <font>
      <u/>
      <sz val="12"/>
      <color indexed="12"/>
      <name val="新細明體"/>
      <family val="1"/>
      <charset val="136"/>
    </font>
    <font>
      <sz val="10"/>
      <name val="MS Sans Serif"/>
      <family val="2"/>
    </font>
    <font>
      <sz val="12"/>
      <color indexed="8"/>
      <name val="Times New Roman"/>
      <family val="1"/>
    </font>
    <font>
      <sz val="12"/>
      <name val="新細明體"/>
      <family val="1"/>
      <charset val="136"/>
    </font>
    <font>
      <sz val="11"/>
      <name val="ＭＳ Ｐゴシック"/>
      <family val="2"/>
      <charset val="128"/>
    </font>
    <font>
      <b/>
      <sz val="18"/>
      <color indexed="18"/>
      <name val="Tahoma"/>
      <family val="2"/>
    </font>
    <font>
      <sz val="18"/>
      <color indexed="18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12"/>
      <color indexed="10"/>
      <name val="Tahoma"/>
      <family val="2"/>
    </font>
    <font>
      <b/>
      <sz val="12"/>
      <color indexed="20"/>
      <name val="Tahoma"/>
      <family val="2"/>
    </font>
    <font>
      <b/>
      <sz val="12"/>
      <color indexed="14"/>
      <name val="Tahoma"/>
      <family val="2"/>
    </font>
    <font>
      <b/>
      <sz val="12"/>
      <color indexed="12"/>
      <name val="Tahoma"/>
      <family val="2"/>
    </font>
    <font>
      <b/>
      <sz val="14"/>
      <name val="Tahoma"/>
      <family val="2"/>
    </font>
    <font>
      <b/>
      <sz val="11"/>
      <color indexed="19"/>
      <name val="Tahoma"/>
      <family val="2"/>
    </font>
    <font>
      <sz val="11"/>
      <color indexed="19"/>
      <name val="Tahoma"/>
      <family val="2"/>
    </font>
    <font>
      <sz val="11"/>
      <color indexed="16"/>
      <name val="Tahoma"/>
      <family val="2"/>
    </font>
    <font>
      <sz val="11"/>
      <color indexed="12"/>
      <name val="Tahoma"/>
      <family val="2"/>
    </font>
    <font>
      <b/>
      <sz val="11"/>
      <color indexed="16"/>
      <name val="Tahoma"/>
      <family val="2"/>
    </font>
    <font>
      <b/>
      <sz val="11"/>
      <color indexed="17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10"/>
      <name val="Tahoma"/>
      <family val="2"/>
    </font>
    <font>
      <sz val="12"/>
      <name val="宋体"/>
    </font>
    <font>
      <b/>
      <sz val="11"/>
      <color indexed="19"/>
      <name val="NSimSun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8"/>
        <bgColor indexed="64"/>
      </patternFill>
    </fill>
  </fills>
  <borders count="59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72">
    <xf numFmtId="0" fontId="0" fillId="0" borderId="0">
      <alignment vertical="center"/>
    </xf>
    <xf numFmtId="0" fontId="6" fillId="0" borderId="0"/>
    <xf numFmtId="0" fontId="3" fillId="0" borderId="0" applyNumberFormat="0" applyAlignment="0"/>
    <xf numFmtId="0" fontId="4" fillId="0" borderId="0">
      <alignment horizontal="center" wrapText="1"/>
      <protection locked="0"/>
    </xf>
    <xf numFmtId="0" fontId="5" fillId="0" borderId="0" applyNumberFormat="0" applyFill="0" applyBorder="0" applyAlignment="0" applyProtection="0"/>
    <xf numFmtId="186" fontId="6" fillId="0" borderId="0" applyFill="0" applyBorder="0" applyAlignment="0"/>
    <xf numFmtId="184" fontId="7" fillId="0" borderId="0" applyFill="0" applyBorder="0" applyAlignment="0"/>
    <xf numFmtId="183" fontId="7" fillId="0" borderId="0" applyFill="0" applyBorder="0" applyAlignment="0"/>
    <xf numFmtId="188" fontId="6" fillId="0" borderId="0" applyFill="0" applyBorder="0" applyAlignment="0"/>
    <xf numFmtId="189" fontId="6" fillId="0" borderId="0" applyFill="0" applyBorder="0" applyAlignment="0"/>
    <xf numFmtId="186" fontId="6" fillId="0" borderId="0" applyFill="0" applyBorder="0" applyAlignment="0"/>
    <xf numFmtId="190" fontId="6" fillId="0" borderId="0" applyFill="0" applyBorder="0" applyAlignment="0"/>
    <xf numFmtId="184" fontId="7" fillId="0" borderId="0" applyFill="0" applyBorder="0" applyAlignment="0"/>
    <xf numFmtId="199" fontId="6" fillId="0" borderId="0" applyFont="0" applyFill="0" applyBorder="0" applyAlignment="0" applyProtection="0"/>
    <xf numFmtId="186" fontId="6" fillId="0" borderId="0" applyFont="0" applyFill="0" applyBorder="0" applyAlignment="0" applyProtection="0"/>
    <xf numFmtId="201" fontId="6" fillId="0" borderId="0" applyFont="0" applyFill="0" applyBorder="0" applyAlignment="0" applyProtection="0"/>
    <xf numFmtId="198" fontId="6" fillId="0" borderId="0" applyFont="0" applyFill="0" applyBorder="0" applyAlignment="0" applyProtection="0"/>
    <xf numFmtId="184" fontId="7" fillId="0" borderId="0" applyFont="0" applyFill="0" applyBorder="0" applyAlignment="0" applyProtection="0"/>
    <xf numFmtId="200" fontId="6" fillId="0" borderId="0" applyFont="0" applyFill="0" applyBorder="0" applyAlignment="0" applyProtection="0"/>
    <xf numFmtId="14" fontId="8" fillId="0" borderId="0" applyFill="0" applyBorder="0" applyAlignment="0"/>
    <xf numFmtId="187" fontId="6" fillId="0" borderId="1">
      <alignment vertical="center"/>
    </xf>
    <xf numFmtId="0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186" fontId="6" fillId="0" borderId="0" applyFill="0" applyBorder="0" applyAlignment="0"/>
    <xf numFmtId="184" fontId="7" fillId="0" borderId="0" applyFill="0" applyBorder="0" applyAlignment="0"/>
    <xf numFmtId="186" fontId="6" fillId="0" borderId="0" applyFill="0" applyBorder="0" applyAlignment="0"/>
    <xf numFmtId="190" fontId="6" fillId="0" borderId="0" applyFill="0" applyBorder="0" applyAlignment="0"/>
    <xf numFmtId="184" fontId="7" fillId="0" borderId="0" applyFill="0" applyBorder="0" applyAlignment="0"/>
    <xf numFmtId="38" fontId="3" fillId="2" borderId="0" applyNumberFormat="0" applyBorder="0" applyAlignment="0" applyProtection="0"/>
    <xf numFmtId="0" fontId="1" fillId="0" borderId="2" applyNumberFormat="0" applyAlignment="0" applyProtection="0">
      <alignment horizontal="left" vertical="center"/>
    </xf>
    <xf numFmtId="0" fontId="1" fillId="0" borderId="3">
      <alignment horizontal="left" vertical="center"/>
    </xf>
    <xf numFmtId="0" fontId="9" fillId="0" borderId="0" applyNumberFormat="0" applyFill="0" applyBorder="0" applyAlignment="0" applyProtection="0">
      <alignment vertical="top"/>
      <protection locked="0"/>
    </xf>
    <xf numFmtId="10" fontId="3" fillId="3" borderId="4" applyNumberFormat="0" applyBorder="0" applyAlignment="0" applyProtection="0"/>
    <xf numFmtId="186" fontId="6" fillId="0" borderId="0" applyFill="0" applyBorder="0" applyAlignment="0"/>
    <xf numFmtId="184" fontId="7" fillId="0" borderId="0" applyFill="0" applyBorder="0" applyAlignment="0"/>
    <xf numFmtId="186" fontId="6" fillId="0" borderId="0" applyFill="0" applyBorder="0" applyAlignment="0"/>
    <xf numFmtId="190" fontId="6" fillId="0" borderId="0" applyFill="0" applyBorder="0" applyAlignment="0"/>
    <xf numFmtId="184" fontId="7" fillId="0" borderId="0" applyFill="0" applyBorder="0" applyAlignment="0"/>
    <xf numFmtId="195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6" fontId="6" fillId="0" borderId="0" applyFont="0" applyFill="0" applyBorder="0" applyAlignment="0" applyProtection="0"/>
    <xf numFmtId="185" fontId="6" fillId="0" borderId="0"/>
    <xf numFmtId="0" fontId="10" fillId="0" borderId="0"/>
    <xf numFmtId="0" fontId="6" fillId="0" borderId="0" applyFont="0" applyFill="0" applyBorder="0" applyAlignment="0" applyProtection="0"/>
    <xf numFmtId="0" fontId="11" fillId="4" borderId="0"/>
    <xf numFmtId="189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91" fontId="6" fillId="0" borderId="0" applyFont="0" applyFill="0" applyBorder="0" applyAlignment="0" applyProtection="0"/>
    <xf numFmtId="186" fontId="6" fillId="0" borderId="0" applyFill="0" applyBorder="0" applyAlignment="0"/>
    <xf numFmtId="184" fontId="7" fillId="0" borderId="0" applyFill="0" applyBorder="0" applyAlignment="0"/>
    <xf numFmtId="186" fontId="6" fillId="0" borderId="0" applyFill="0" applyBorder="0" applyAlignment="0"/>
    <xf numFmtId="190" fontId="6" fillId="0" borderId="0" applyFill="0" applyBorder="0" applyAlignment="0"/>
    <xf numFmtId="184" fontId="7" fillId="0" borderId="0" applyFill="0" applyBorder="0" applyAlignment="0"/>
    <xf numFmtId="0" fontId="6" fillId="0" borderId="0"/>
    <xf numFmtId="0" fontId="6" fillId="0" borderId="0"/>
    <xf numFmtId="49" fontId="8" fillId="0" borderId="0" applyFill="0" applyBorder="0" applyAlignment="0"/>
    <xf numFmtId="191" fontId="6" fillId="0" borderId="0" applyFill="0" applyBorder="0" applyAlignment="0"/>
    <xf numFmtId="192" fontId="6" fillId="0" borderId="0" applyFill="0" applyBorder="0" applyAlignment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76" fontId="12" fillId="0" borderId="0" applyFont="0" applyFill="0" applyBorder="0" applyAlignment="0" applyProtection="0"/>
    <xf numFmtId="179" fontId="10" fillId="0" borderId="0" applyFont="0" applyFill="0" applyBorder="0" applyAlignment="0" applyProtection="0"/>
    <xf numFmtId="181" fontId="6" fillId="0" borderId="0" applyFont="0" applyFill="0" applyBorder="0" applyAlignment="0" applyProtection="0"/>
    <xf numFmtId="180" fontId="10" fillId="0" borderId="0" applyFont="0" applyFill="0" applyBorder="0" applyAlignment="0" applyProtection="0"/>
    <xf numFmtId="177" fontId="6" fillId="0" borderId="0" applyFont="0" applyFill="0" applyBorder="0" applyAlignment="0" applyProtection="0"/>
    <xf numFmtId="178" fontId="6" fillId="0" borderId="0" applyFont="0" applyFill="0" applyBorder="0" applyAlignment="0" applyProtection="0"/>
    <xf numFmtId="0" fontId="12" fillId="0" borderId="0"/>
    <xf numFmtId="0" fontId="12" fillId="0" borderId="0"/>
    <xf numFmtId="177" fontId="6" fillId="0" borderId="0" applyFont="0" applyFill="0" applyBorder="0" applyAlignment="0" applyProtection="0"/>
    <xf numFmtId="0" fontId="13" fillId="0" borderId="0"/>
  </cellStyleXfs>
  <cellXfs count="112">
    <xf numFmtId="0" fontId="0" fillId="0" borderId="0" xfId="0">
      <alignment vertical="center"/>
    </xf>
    <xf numFmtId="0" fontId="14" fillId="0" borderId="6" xfId="68" applyFont="1" applyBorder="1" applyAlignment="1">
      <alignment horizontal="left" vertical="center"/>
    </xf>
    <xf numFmtId="0" fontId="15" fillId="0" borderId="7" xfId="68" applyFont="1" applyBorder="1"/>
    <xf numFmtId="202" fontId="15" fillId="0" borderId="4" xfId="68" applyNumberFormat="1" applyFont="1" applyBorder="1" applyAlignment="1">
      <alignment horizontal="center" vertical="center"/>
    </xf>
    <xf numFmtId="202" fontId="15" fillId="0" borderId="7" xfId="68" applyNumberFormat="1" applyFont="1" applyBorder="1" applyAlignment="1">
      <alignment horizontal="center" vertical="center"/>
    </xf>
    <xf numFmtId="0" fontId="15" fillId="0" borderId="7" xfId="68" applyNumberFormat="1" applyFont="1" applyBorder="1" applyAlignment="1">
      <alignment horizontal="center" vertical="center"/>
    </xf>
    <xf numFmtId="0" fontId="16" fillId="0" borderId="0" xfId="0" applyFont="1">
      <alignment vertical="center"/>
    </xf>
    <xf numFmtId="203" fontId="17" fillId="11" borderId="53" xfId="68" applyNumberFormat="1" applyFont="1" applyFill="1" applyBorder="1" applyAlignment="1">
      <alignment horizontal="center" vertical="center"/>
    </xf>
    <xf numFmtId="0" fontId="17" fillId="11" borderId="53" xfId="68" applyFont="1" applyFill="1" applyBorder="1" applyAlignment="1">
      <alignment horizontal="center" vertical="center"/>
    </xf>
    <xf numFmtId="0" fontId="17" fillId="0" borderId="53" xfId="68" applyFont="1" applyFill="1" applyBorder="1" applyAlignment="1">
      <alignment horizontal="center" vertical="center"/>
    </xf>
    <xf numFmtId="0" fontId="17" fillId="0" borderId="56" xfId="68" applyFont="1" applyFill="1" applyBorder="1" applyAlignment="1">
      <alignment horizontal="center" vertical="center"/>
    </xf>
    <xf numFmtId="0" fontId="17" fillId="0" borderId="0" xfId="68" applyFont="1" applyFill="1" applyBorder="1" applyAlignment="1">
      <alignment horizontal="center" vertical="center"/>
    </xf>
    <xf numFmtId="0" fontId="17" fillId="0" borderId="0" xfId="68" applyFont="1" applyFill="1" applyAlignment="1">
      <alignment horizontal="center" vertical="center"/>
    </xf>
    <xf numFmtId="203" fontId="17" fillId="0" borderId="51" xfId="68" applyNumberFormat="1" applyFont="1" applyFill="1" applyBorder="1" applyAlignment="1">
      <alignment horizontal="center" vertical="center"/>
    </xf>
    <xf numFmtId="203" fontId="17" fillId="0" borderId="50" xfId="68" applyNumberFormat="1" applyFont="1" applyFill="1" applyBorder="1" applyAlignment="1">
      <alignment horizontal="center" vertical="center"/>
    </xf>
    <xf numFmtId="0" fontId="17" fillId="0" borderId="50" xfId="68" applyFont="1" applyFill="1" applyBorder="1" applyAlignment="1">
      <alignment horizontal="center" vertical="center"/>
    </xf>
    <xf numFmtId="0" fontId="17" fillId="10" borderId="50" xfId="68" applyFont="1" applyFill="1" applyBorder="1" applyAlignment="1">
      <alignment horizontal="center" vertical="center"/>
    </xf>
    <xf numFmtId="0" fontId="17" fillId="0" borderId="57" xfId="68" applyFont="1" applyFill="1" applyBorder="1" applyAlignment="1">
      <alignment horizontal="center" vertical="center"/>
    </xf>
    <xf numFmtId="203" fontId="17" fillId="6" borderId="51" xfId="68" applyNumberFormat="1" applyFont="1" applyFill="1" applyBorder="1" applyAlignment="1">
      <alignment horizontal="center" vertical="center"/>
    </xf>
    <xf numFmtId="203" fontId="17" fillId="6" borderId="50" xfId="68" applyNumberFormat="1" applyFont="1" applyFill="1" applyBorder="1" applyAlignment="1">
      <alignment horizontal="center" vertical="center"/>
    </xf>
    <xf numFmtId="0" fontId="17" fillId="6" borderId="50" xfId="68" applyFont="1" applyFill="1" applyBorder="1" applyAlignment="1">
      <alignment horizontal="center" vertical="center"/>
    </xf>
    <xf numFmtId="0" fontId="21" fillId="0" borderId="8" xfId="68" applyFont="1" applyBorder="1" applyAlignment="1">
      <alignment horizontal="center" vertical="center"/>
    </xf>
    <xf numFmtId="14" fontId="21" fillId="0" borderId="14" xfId="69" applyNumberFormat="1" applyFont="1" applyBorder="1" applyAlignment="1">
      <alignment horizontal="center" vertical="center"/>
    </xf>
    <xf numFmtId="14" fontId="21" fillId="0" borderId="15" xfId="69" applyNumberFormat="1" applyFont="1" applyBorder="1" applyAlignment="1">
      <alignment horizontal="center" vertical="center"/>
    </xf>
    <xf numFmtId="204" fontId="21" fillId="0" borderId="27" xfId="68" applyNumberFormat="1" applyFont="1" applyFill="1" applyBorder="1" applyAlignment="1">
      <alignment horizontal="center" vertical="center"/>
    </xf>
    <xf numFmtId="0" fontId="22" fillId="0" borderId="51" xfId="68" applyNumberFormat="1" applyFont="1" applyFill="1" applyBorder="1" applyAlignment="1">
      <alignment horizontal="center" vertical="center"/>
    </xf>
    <xf numFmtId="0" fontId="22" fillId="0" borderId="50" xfId="68" applyNumberFormat="1" applyFont="1" applyFill="1" applyBorder="1" applyAlignment="1">
      <alignment horizontal="center" vertical="center"/>
    </xf>
    <xf numFmtId="0" fontId="22" fillId="0" borderId="50" xfId="68" applyFont="1" applyFill="1" applyBorder="1" applyAlignment="1">
      <alignment vertical="center"/>
    </xf>
    <xf numFmtId="0" fontId="22" fillId="5" borderId="50" xfId="68" applyFont="1" applyFill="1" applyBorder="1" applyAlignment="1">
      <alignment vertical="center"/>
    </xf>
    <xf numFmtId="0" fontId="22" fillId="0" borderId="57" xfId="68" applyFont="1" applyFill="1" applyBorder="1" applyAlignment="1">
      <alignment vertical="center"/>
    </xf>
    <xf numFmtId="0" fontId="22" fillId="0" borderId="0" xfId="68" applyFont="1" applyFill="1" applyBorder="1" applyAlignment="1">
      <alignment vertical="center"/>
    </xf>
    <xf numFmtId="0" fontId="22" fillId="0" borderId="0" xfId="68" applyFont="1" applyFill="1" applyAlignment="1">
      <alignment vertical="center"/>
    </xf>
    <xf numFmtId="0" fontId="23" fillId="0" borderId="12" xfId="69" applyFont="1" applyBorder="1" applyAlignment="1">
      <alignment horizontal="left" vertical="center"/>
    </xf>
    <xf numFmtId="0" fontId="24" fillId="0" borderId="9" xfId="68" applyFont="1" applyBorder="1" applyAlignment="1">
      <alignment horizontal="center" vertical="center"/>
    </xf>
    <xf numFmtId="14" fontId="24" fillId="0" borderId="16" xfId="69" applyNumberFormat="1" applyFont="1" applyBorder="1" applyAlignment="1">
      <alignment horizontal="center" vertical="center"/>
    </xf>
    <xf numFmtId="14" fontId="24" fillId="0" borderId="17" xfId="69" applyNumberFormat="1" applyFont="1" applyBorder="1" applyAlignment="1">
      <alignment horizontal="center" vertical="center"/>
    </xf>
    <xf numFmtId="204" fontId="23" fillId="0" borderId="28" xfId="68" applyNumberFormat="1" applyFont="1" applyFill="1" applyBorder="1" applyAlignment="1">
      <alignment horizontal="center" vertical="center"/>
    </xf>
    <xf numFmtId="0" fontId="17" fillId="0" borderId="51" xfId="68" applyNumberFormat="1" applyFont="1" applyFill="1" applyBorder="1" applyAlignment="1">
      <alignment horizontal="center" vertical="center"/>
    </xf>
    <xf numFmtId="0" fontId="17" fillId="0" borderId="50" xfId="68" applyNumberFormat="1" applyFont="1" applyFill="1" applyBorder="1" applyAlignment="1">
      <alignment horizontal="center" vertical="center"/>
    </xf>
    <xf numFmtId="0" fontId="17" fillId="0" borderId="50" xfId="68" applyFont="1" applyFill="1" applyBorder="1" applyAlignment="1">
      <alignment vertical="center"/>
    </xf>
    <xf numFmtId="0" fontId="17" fillId="9" borderId="50" xfId="68" applyFont="1" applyFill="1" applyBorder="1" applyAlignment="1">
      <alignment vertical="center"/>
    </xf>
    <xf numFmtId="0" fontId="17" fillId="0" borderId="57" xfId="68" applyFont="1" applyFill="1" applyBorder="1" applyAlignment="1">
      <alignment vertical="center"/>
    </xf>
    <xf numFmtId="0" fontId="17" fillId="0" borderId="0" xfId="68" applyFont="1" applyFill="1" applyBorder="1" applyAlignment="1">
      <alignment vertical="center"/>
    </xf>
    <xf numFmtId="0" fontId="17" fillId="0" borderId="0" xfId="68" applyFont="1" applyFill="1" applyAlignment="1">
      <alignment vertical="center"/>
    </xf>
    <xf numFmtId="0" fontId="25" fillId="0" borderId="9" xfId="68" applyFont="1" applyBorder="1" applyAlignment="1">
      <alignment horizontal="center" vertical="center"/>
    </xf>
    <xf numFmtId="0" fontId="26" fillId="0" borderId="9" xfId="68" applyFont="1" applyBorder="1" applyAlignment="1">
      <alignment horizontal="center" vertical="center"/>
    </xf>
    <xf numFmtId="0" fontId="27" fillId="0" borderId="12" xfId="69" applyFont="1" applyBorder="1" applyAlignment="1">
      <alignment horizontal="left" vertical="center"/>
    </xf>
    <xf numFmtId="14" fontId="25" fillId="0" borderId="16" xfId="69" applyNumberFormat="1" applyFont="1" applyBorder="1" applyAlignment="1">
      <alignment horizontal="center" vertical="center"/>
    </xf>
    <xf numFmtId="14" fontId="25" fillId="0" borderId="17" xfId="69" applyNumberFormat="1" applyFont="1" applyBorder="1" applyAlignment="1">
      <alignment horizontal="center" vertical="center"/>
    </xf>
    <xf numFmtId="204" fontId="27" fillId="0" borderId="28" xfId="68" applyNumberFormat="1" applyFont="1" applyFill="1" applyBorder="1" applyAlignment="1">
      <alignment horizontal="center" vertical="center"/>
    </xf>
    <xf numFmtId="0" fontId="16" fillId="0" borderId="51" xfId="68" applyNumberFormat="1" applyFont="1" applyFill="1" applyBorder="1" applyAlignment="1">
      <alignment horizontal="center" vertical="center"/>
    </xf>
    <xf numFmtId="0" fontId="16" fillId="0" borderId="50" xfId="68" applyNumberFormat="1" applyFont="1" applyFill="1" applyBorder="1" applyAlignment="1">
      <alignment horizontal="center" vertical="center"/>
    </xf>
    <xf numFmtId="0" fontId="16" fillId="0" borderId="50" xfId="68" applyFont="1" applyFill="1" applyBorder="1"/>
    <xf numFmtId="0" fontId="16" fillId="8" borderId="50" xfId="68" applyFont="1" applyFill="1" applyBorder="1"/>
    <xf numFmtId="0" fontId="16" fillId="0" borderId="57" xfId="68" applyFont="1" applyFill="1" applyBorder="1"/>
    <xf numFmtId="0" fontId="16" fillId="0" borderId="0" xfId="68" applyFont="1" applyFill="1" applyBorder="1"/>
    <xf numFmtId="0" fontId="16" fillId="0" borderId="0" xfId="68" applyFont="1" applyFill="1"/>
    <xf numFmtId="0" fontId="16" fillId="0" borderId="55" xfId="68" applyFont="1" applyFill="1" applyBorder="1"/>
    <xf numFmtId="0" fontId="16" fillId="0" borderId="58" xfId="68" applyFont="1" applyFill="1" applyBorder="1"/>
    <xf numFmtId="0" fontId="16" fillId="0" borderId="0" xfId="68" applyFont="1" applyAlignment="1">
      <alignment horizontal="center" vertical="center"/>
    </xf>
    <xf numFmtId="0" fontId="30" fillId="0" borderId="0" xfId="68" applyFont="1" applyAlignment="1">
      <alignment horizontal="center" vertical="center"/>
    </xf>
    <xf numFmtId="202" fontId="31" fillId="0" borderId="0" xfId="68" applyNumberFormat="1" applyFont="1" applyAlignment="1">
      <alignment horizontal="center" vertical="center"/>
    </xf>
    <xf numFmtId="204" fontId="28" fillId="0" borderId="0" xfId="68" applyNumberFormat="1" applyFont="1" applyFill="1" applyBorder="1" applyAlignment="1">
      <alignment horizontal="center" vertical="center"/>
    </xf>
    <xf numFmtId="0" fontId="29" fillId="0" borderId="0" xfId="68" applyNumberFormat="1" applyFont="1" applyFill="1" applyBorder="1"/>
    <xf numFmtId="202" fontId="31" fillId="0" borderId="5" xfId="68" applyNumberFormat="1" applyFont="1" applyBorder="1" applyAlignment="1">
      <alignment horizontal="center" vertical="center"/>
    </xf>
    <xf numFmtId="0" fontId="31" fillId="0" borderId="0" xfId="68" applyNumberFormat="1" applyFont="1" applyBorder="1" applyAlignment="1">
      <alignment horizontal="center" vertical="center"/>
    </xf>
    <xf numFmtId="0" fontId="18" fillId="0" borderId="2" xfId="68" applyFont="1" applyFill="1" applyBorder="1" applyAlignment="1">
      <alignment horizontal="center" vertical="center"/>
    </xf>
    <xf numFmtId="14" fontId="17" fillId="0" borderId="32" xfId="69" applyNumberFormat="1" applyFont="1" applyFill="1" applyBorder="1" applyAlignment="1">
      <alignment horizontal="center" vertical="center"/>
    </xf>
    <xf numFmtId="14" fontId="17" fillId="0" borderId="21" xfId="69" applyNumberFormat="1" applyFont="1" applyFill="1" applyBorder="1" applyAlignment="1">
      <alignment horizontal="center" vertical="center"/>
    </xf>
    <xf numFmtId="14" fontId="17" fillId="0" borderId="22" xfId="69" applyNumberFormat="1" applyFont="1" applyFill="1" applyBorder="1" applyAlignment="1">
      <alignment horizontal="center" vertical="center"/>
    </xf>
    <xf numFmtId="0" fontId="19" fillId="0" borderId="37" xfId="68" applyFont="1" applyFill="1" applyBorder="1" applyAlignment="1">
      <alignment horizontal="center" vertical="center"/>
    </xf>
    <xf numFmtId="0" fontId="19" fillId="0" borderId="5" xfId="68" applyFont="1" applyFill="1" applyBorder="1" applyAlignment="1">
      <alignment horizontal="center" vertical="center"/>
    </xf>
    <xf numFmtId="14" fontId="19" fillId="0" borderId="10" xfId="69" applyNumberFormat="1" applyFont="1" applyFill="1" applyBorder="1" applyAlignment="1">
      <alignment horizontal="center" vertical="center"/>
    </xf>
    <xf numFmtId="14" fontId="19" fillId="0" borderId="13" xfId="69" applyNumberFormat="1" applyFont="1" applyFill="1" applyBorder="1" applyAlignment="1">
      <alignment horizontal="center" vertical="center"/>
    </xf>
    <xf numFmtId="14" fontId="19" fillId="0" borderId="23" xfId="69" applyNumberFormat="1" applyFont="1" applyFill="1" applyBorder="1" applyAlignment="1">
      <alignment horizontal="center" vertical="center"/>
    </xf>
    <xf numFmtId="0" fontId="20" fillId="0" borderId="38" xfId="68" applyFont="1" applyFill="1" applyBorder="1" applyAlignment="1">
      <alignment horizontal="center" vertical="center"/>
    </xf>
    <xf numFmtId="0" fontId="20" fillId="0" borderId="41" xfId="68" applyFont="1" applyFill="1" applyBorder="1" applyAlignment="1">
      <alignment horizontal="center" vertical="center"/>
    </xf>
    <xf numFmtId="14" fontId="20" fillId="0" borderId="34" xfId="69" applyNumberFormat="1" applyFont="1" applyFill="1" applyBorder="1" applyAlignment="1">
      <alignment horizontal="center" vertical="center"/>
    </xf>
    <xf numFmtId="14" fontId="20" fillId="0" borderId="18" xfId="69" applyNumberFormat="1" applyFont="1" applyFill="1" applyBorder="1" applyAlignment="1">
      <alignment horizontal="center" vertical="center"/>
    </xf>
    <xf numFmtId="14" fontId="20" fillId="0" borderId="24" xfId="69" applyNumberFormat="1" applyFont="1" applyFill="1" applyBorder="1" applyAlignment="1">
      <alignment horizontal="center" vertical="center"/>
    </xf>
    <xf numFmtId="0" fontId="20" fillId="0" borderId="39" xfId="68" applyFont="1" applyFill="1" applyBorder="1" applyAlignment="1">
      <alignment horizontal="center" vertical="center"/>
    </xf>
    <xf numFmtId="0" fontId="20" fillId="0" borderId="42" xfId="68" applyFont="1" applyFill="1" applyBorder="1" applyAlignment="1">
      <alignment horizontal="center" vertical="center"/>
    </xf>
    <xf numFmtId="14" fontId="20" fillId="0" borderId="35" xfId="69" applyNumberFormat="1" applyFont="1" applyFill="1" applyBorder="1" applyAlignment="1">
      <alignment horizontal="center" vertical="center"/>
    </xf>
    <xf numFmtId="14" fontId="20" fillId="0" borderId="19" xfId="69" applyNumberFormat="1" applyFont="1" applyFill="1" applyBorder="1" applyAlignment="1">
      <alignment horizontal="center" vertical="center"/>
    </xf>
    <xf numFmtId="14" fontId="20" fillId="0" borderId="25" xfId="69" applyNumberFormat="1" applyFont="1" applyFill="1" applyBorder="1" applyAlignment="1">
      <alignment horizontal="center" vertical="center"/>
    </xf>
    <xf numFmtId="0" fontId="20" fillId="0" borderId="40" xfId="68" applyFont="1" applyFill="1" applyBorder="1" applyAlignment="1">
      <alignment horizontal="center" vertical="center"/>
    </xf>
    <xf numFmtId="0" fontId="20" fillId="0" borderId="43" xfId="68" applyFont="1" applyFill="1" applyBorder="1" applyAlignment="1">
      <alignment horizontal="center" vertical="center"/>
    </xf>
    <xf numFmtId="14" fontId="20" fillId="0" borderId="20" xfId="68" applyNumberFormat="1" applyFont="1" applyFill="1" applyBorder="1" applyAlignment="1">
      <alignment horizontal="center" vertical="center"/>
    </xf>
    <xf numFmtId="14" fontId="20" fillId="0" borderId="26" xfId="69" applyNumberFormat="1" applyFont="1" applyFill="1" applyBorder="1" applyAlignment="1">
      <alignment horizontal="center" vertical="center"/>
    </xf>
    <xf numFmtId="203" fontId="17" fillId="11" borderId="52" xfId="68" applyNumberFormat="1" applyFont="1" applyFill="1" applyBorder="1" applyAlignment="1">
      <alignment horizontal="center" vertical="center"/>
    </xf>
    <xf numFmtId="0" fontId="17" fillId="0" borderId="33" xfId="68" applyFont="1" applyFill="1" applyBorder="1" applyAlignment="1">
      <alignment horizontal="center" vertical="center"/>
    </xf>
    <xf numFmtId="0" fontId="21" fillId="0" borderId="11" xfId="69" applyFont="1" applyBorder="1" applyAlignment="1">
      <alignment horizontal="center" vertical="center"/>
    </xf>
    <xf numFmtId="0" fontId="17" fillId="0" borderId="51" xfId="68" applyFont="1" applyFill="1" applyBorder="1" applyAlignment="1">
      <alignment horizontal="center" vertical="center"/>
    </xf>
    <xf numFmtId="203" fontId="0" fillId="7" borderId="48" xfId="0" applyNumberFormat="1" applyFont="1" applyFill="1" applyBorder="1" applyAlignment="1">
      <alignment horizontal="center" vertical="center"/>
    </xf>
    <xf numFmtId="203" fontId="0" fillId="7" borderId="44" xfId="0" applyNumberFormat="1" applyFont="1" applyFill="1" applyBorder="1" applyAlignment="1">
      <alignment horizontal="center" vertical="center"/>
    </xf>
    <xf numFmtId="203" fontId="0" fillId="7" borderId="49" xfId="0" applyNumberFormat="1" applyFont="1" applyFill="1" applyBorder="1" applyAlignment="1">
      <alignment horizontal="center" vertical="center"/>
    </xf>
    <xf numFmtId="0" fontId="16" fillId="0" borderId="54" xfId="68" applyNumberFormat="1" applyFont="1" applyFill="1" applyBorder="1" applyAlignment="1">
      <alignment horizontal="center" vertical="center"/>
    </xf>
    <xf numFmtId="0" fontId="16" fillId="0" borderId="55" xfId="68" applyNumberFormat="1" applyFont="1" applyFill="1" applyBorder="1" applyAlignment="1">
      <alignment horizontal="center" vertical="center"/>
    </xf>
    <xf numFmtId="0" fontId="16" fillId="8" borderId="55" xfId="68" applyFont="1" applyFill="1" applyBorder="1"/>
    <xf numFmtId="205" fontId="0" fillId="7" borderId="45" xfId="0" applyNumberFormat="1" applyFont="1" applyFill="1" applyBorder="1" applyAlignment="1">
      <alignment horizontal="center" vertical="center"/>
    </xf>
    <xf numFmtId="205" fontId="0" fillId="7" borderId="46" xfId="0" applyNumberFormat="1" applyFont="1" applyFill="1" applyBorder="1" applyAlignment="1">
      <alignment horizontal="center" vertical="center"/>
    </xf>
    <xf numFmtId="205" fontId="0" fillId="7" borderId="47" xfId="0" applyNumberFormat="1" applyFont="1" applyFill="1" applyBorder="1" applyAlignment="1">
      <alignment horizontal="center" vertical="center"/>
    </xf>
    <xf numFmtId="0" fontId="17" fillId="7" borderId="36" xfId="68" applyFont="1" applyFill="1" applyBorder="1" applyAlignment="1">
      <alignment horizontal="center" vertical="center"/>
    </xf>
    <xf numFmtId="0" fontId="17" fillId="7" borderId="37" xfId="68" applyFont="1" applyFill="1" applyBorder="1" applyAlignment="1">
      <alignment horizontal="center" vertical="center"/>
    </xf>
    <xf numFmtId="0" fontId="17" fillId="7" borderId="7" xfId="68" applyFont="1" applyFill="1" applyBorder="1" applyAlignment="1">
      <alignment horizontal="center" vertical="center"/>
    </xf>
    <xf numFmtId="0" fontId="17" fillId="7" borderId="5" xfId="68" applyFont="1" applyFill="1" applyBorder="1" applyAlignment="1">
      <alignment horizontal="center" vertical="center"/>
    </xf>
    <xf numFmtId="0" fontId="17" fillId="7" borderId="29" xfId="68" applyNumberFormat="1" applyFont="1" applyFill="1" applyBorder="1" applyAlignment="1">
      <alignment horizontal="center" vertical="center"/>
    </xf>
    <xf numFmtId="0" fontId="17" fillId="7" borderId="23" xfId="68" applyFont="1" applyFill="1" applyBorder="1" applyAlignment="1">
      <alignment horizontal="center" vertical="center"/>
    </xf>
    <xf numFmtId="0" fontId="17" fillId="7" borderId="31" xfId="68" applyFont="1" applyFill="1" applyBorder="1" applyAlignment="1">
      <alignment horizontal="center" vertical="center"/>
    </xf>
    <xf numFmtId="0" fontId="17" fillId="7" borderId="10" xfId="68" applyFont="1" applyFill="1" applyBorder="1" applyAlignment="1">
      <alignment horizontal="center" vertical="center"/>
    </xf>
    <xf numFmtId="202" fontId="17" fillId="7" borderId="30" xfId="68" applyNumberFormat="1" applyFont="1" applyFill="1" applyBorder="1" applyAlignment="1">
      <alignment horizontal="center" vertical="center"/>
    </xf>
    <xf numFmtId="202" fontId="17" fillId="7" borderId="13" xfId="68" applyNumberFormat="1" applyFont="1" applyFill="1" applyBorder="1" applyAlignment="1">
      <alignment horizontal="center" vertical="center"/>
    </xf>
  </cellXfs>
  <cellStyles count="72">
    <cellStyle name="??&amp;_x0012_?&amp;_x000b_?_x0008_??_x0007__x0001__x0001_" xfId="1"/>
    <cellStyle name="active" xfId="2"/>
    <cellStyle name="args.style" xfId="3"/>
    <cellStyle name="Besuchter Hyperlink_Basic Data_ProMOS_CMP_0600" xfId="4"/>
    <cellStyle name="Calc Currency (0)" xfId="5"/>
    <cellStyle name="Calc Currency (2)" xfId="6"/>
    <cellStyle name="Calc Percent (0)" xfId="7"/>
    <cellStyle name="Calc Percent (1)" xfId="8"/>
    <cellStyle name="Calc Percent (2)" xfId="9"/>
    <cellStyle name="Calc Units (0)" xfId="10"/>
    <cellStyle name="Calc Units (1)" xfId="11"/>
    <cellStyle name="Calc Units (2)" xfId="12"/>
    <cellStyle name="Comma [0]_!!!GO" xfId="13"/>
    <cellStyle name="Comma [00]" xfId="14"/>
    <cellStyle name="Comma_!!!GO" xfId="15"/>
    <cellStyle name="Currency [0]_!!!GO" xfId="16"/>
    <cellStyle name="Currency [00]" xfId="17"/>
    <cellStyle name="Currency_!!!GO" xfId="18"/>
    <cellStyle name="Date Short" xfId="19"/>
    <cellStyle name="DELTA" xfId="20"/>
    <cellStyle name="Dezimal [0]_Abscheidung" xfId="21"/>
    <cellStyle name="Dezimal_ Projektnummern 9697 EM" xfId="22"/>
    <cellStyle name="Enter Currency (0)" xfId="23"/>
    <cellStyle name="Enter Currency (2)" xfId="24"/>
    <cellStyle name="Enter Units (0)" xfId="25"/>
    <cellStyle name="Enter Units (1)" xfId="26"/>
    <cellStyle name="Enter Units (2)" xfId="27"/>
    <cellStyle name="Grey" xfId="28"/>
    <cellStyle name="Header1" xfId="29"/>
    <cellStyle name="Header2" xfId="30"/>
    <cellStyle name="Hyperlink_300mm process wafer type and #" xfId="31"/>
    <cellStyle name="Input [yellow]" xfId="32"/>
    <cellStyle name="Link Currency (0)" xfId="33"/>
    <cellStyle name="Link Currency (2)" xfId="34"/>
    <cellStyle name="Link Units (0)" xfId="35"/>
    <cellStyle name="Link Units (1)" xfId="36"/>
    <cellStyle name="Link Units (2)" xfId="37"/>
    <cellStyle name="Milliers [0]_!!!GO" xfId="38"/>
    <cellStyle name="Milliers_!!!GO" xfId="39"/>
    <cellStyle name="Monétaire [0]_!!!GO" xfId="40"/>
    <cellStyle name="Monétaire_!!!GO" xfId="41"/>
    <cellStyle name="Normal - Style1" xfId="42"/>
    <cellStyle name="Normal_!!!GO" xfId="43"/>
    <cellStyle name="Œ…‹æØ‚è [0.00]_laroux" xfId="44"/>
    <cellStyle name="paint" xfId="45"/>
    <cellStyle name="Percent [0]" xfId="46"/>
    <cellStyle name="Percent [00]" xfId="47"/>
    <cellStyle name="Percent [2]" xfId="48"/>
    <cellStyle name="Percent_#6 Temps &amp; Contractors" xfId="49"/>
    <cellStyle name="PrePop Currency (0)" xfId="50"/>
    <cellStyle name="PrePop Currency (2)" xfId="51"/>
    <cellStyle name="PrePop Units (0)" xfId="52"/>
    <cellStyle name="PrePop Units (1)" xfId="53"/>
    <cellStyle name="PrePop Units (2)" xfId="54"/>
    <cellStyle name="s]_x000d_&#10;;run=c:\smartctr\SmartCtr_x000d_&#10;Beep=yes_x000d_&#10;NullPort=None_x000d_&#10;BorderWidth=1_x000d_&#10;CursorBlinkRate=590_x000d_&#10;DoubleClickSpeed=452_x000d_&#10;Progr" xfId="55"/>
    <cellStyle name="Standard_ Projektnummern 9697 EM" xfId="56"/>
    <cellStyle name="Text Indent A" xfId="57"/>
    <cellStyle name="Text Indent B" xfId="58"/>
    <cellStyle name="Text Indent C" xfId="59"/>
    <cellStyle name="W?rung [0]_?zen" xfId="60"/>
    <cellStyle name="W?rung_?zen" xfId="61"/>
    <cellStyle name="Währung [0]_300mm process wafer type and #" xfId="62"/>
    <cellStyle name="Wahrung [0]_S0 DD1" xfId="63"/>
    <cellStyle name="Währung_ Projektnummern 9697 EM" xfId="64"/>
    <cellStyle name="Wahrung_S0 DD1" xfId="65"/>
    <cellStyle name="W鄣rung [0]_PLDT" xfId="66"/>
    <cellStyle name="W鄣rung_PLDT" xfId="67"/>
    <cellStyle name="一般_Alignment &amp; Marking working plan" xfId="68"/>
    <cellStyle name="一般_PLAN" xfId="69"/>
    <cellStyle name="常规" xfId="0" builtinId="0"/>
    <cellStyle name="貨幣[0]_96078" xfId="70"/>
    <cellStyle name="標準_INOTERA UW300Z TP R2" xfId="7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4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3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14</xdr:row>
      <xdr:rowOff>38100</xdr:rowOff>
    </xdr:from>
    <xdr:to>
      <xdr:col>5</xdr:col>
      <xdr:colOff>0</xdr:colOff>
      <xdr:row>14</xdr:row>
      <xdr:rowOff>161925</xdr:rowOff>
    </xdr:to>
    <xdr:sp macro="" textlink="">
      <xdr:nvSpPr>
        <xdr:cNvPr id="15471" name="Rectangle 37"/>
        <xdr:cNvSpPr>
          <a:spLocks noChangeArrowheads="1"/>
        </xdr:cNvSpPr>
      </xdr:nvSpPr>
      <xdr:spPr bwMode="auto">
        <a:xfrm>
          <a:off x="5467350" y="3609975"/>
          <a:ext cx="0" cy="123825"/>
        </a:xfrm>
        <a:prstGeom prst="rect">
          <a:avLst/>
        </a:prstGeom>
        <a:solidFill>
          <a:srgbClr val="99CC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c570\Production%20Meeting\FST\PLAN95\WOCHEN\TESTSCH\BER94-9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c570\Production%20Meeting\FST\PLAN95\WOCHEN\B3-1\B3-1\B31WO16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c477\C-Team\Documents%20and%20Settings\m20222\Desktop\Basic%20Data%20FUR%20Q1%20FY05-06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c570\Production%20Meeting\FST\PLAN95\WOCHEN\TESTSCH\BER95-96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c477\C-Team\Documents%20and%20Settings\weber\Local%20Settings\Temporary%20Internet%20Files\OLK93\Dresden%20300\T07%20Optimal%20Capacity%20IFD3%2023rdNov0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XT/Filed%20Documents/2013/6/7/WOBERW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Wo-Ges."/>
      <sheetName val="320"/>
      <sheetName val="411"/>
      <sheetName val="412"/>
      <sheetName val="413"/>
      <sheetName val="414"/>
      <sheetName val="415"/>
      <sheetName val="416"/>
      <sheetName val="417"/>
      <sheetName val="418"/>
      <sheetName val="425"/>
      <sheetName val="426"/>
      <sheetName val="431"/>
      <sheetName val="433"/>
      <sheetName val="550"/>
      <sheetName val="Wo-Deckbl."/>
      <sheetName val="Wo-Kum"/>
    </sheetNames>
    <sheetDataSet>
      <sheetData sheetId="0" refreshError="1">
        <row r="3">
          <cell r="R3" t="str">
            <v>Aug/Sep 95</v>
          </cell>
          <cell r="S3">
            <v>213</v>
          </cell>
          <cell r="U3">
            <v>0</v>
          </cell>
        </row>
        <row r="4">
          <cell r="R4" t="str">
            <v>4.Q.95</v>
          </cell>
          <cell r="S4">
            <v>183</v>
          </cell>
          <cell r="U4">
            <v>0</v>
          </cell>
        </row>
        <row r="5">
          <cell r="R5" t="str">
            <v>1.Q.96</v>
          </cell>
          <cell r="S5">
            <v>400</v>
          </cell>
          <cell r="U5">
            <v>0</v>
          </cell>
        </row>
        <row r="6">
          <cell r="R6" t="str">
            <v>2.Q.96</v>
          </cell>
          <cell r="S6">
            <v>933</v>
          </cell>
          <cell r="U6">
            <v>0</v>
          </cell>
        </row>
        <row r="7">
          <cell r="R7" t="str">
            <v>3.Q.96</v>
          </cell>
          <cell r="S7">
            <v>1900</v>
          </cell>
          <cell r="T7">
            <v>100</v>
          </cell>
          <cell r="U7">
            <v>0</v>
          </cell>
        </row>
        <row r="8">
          <cell r="R8" t="str">
            <v>4.Q.96</v>
          </cell>
          <cell r="S8">
            <v>2950</v>
          </cell>
          <cell r="T8">
            <v>250</v>
          </cell>
          <cell r="U8">
            <v>0</v>
          </cell>
        </row>
        <row r="9">
          <cell r="R9" t="str">
            <v>MW</v>
          </cell>
          <cell r="S9">
            <v>1273.2</v>
          </cell>
          <cell r="T9">
            <v>175</v>
          </cell>
          <cell r="U9">
            <v>0</v>
          </cell>
        </row>
      </sheetData>
      <sheetData sheetId="1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I16">
            <v>2</v>
          </cell>
          <cell r="M16">
            <v>2</v>
          </cell>
          <cell r="N16">
            <v>2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M17" t="str">
            <v/>
          </cell>
          <cell r="N17">
            <v>2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I18">
            <v>75</v>
          </cell>
          <cell r="K18">
            <v>25</v>
          </cell>
          <cell r="M18">
            <v>100</v>
          </cell>
          <cell r="N18">
            <v>102</v>
          </cell>
          <cell r="S18" t="str">
            <v/>
          </cell>
          <cell r="T18" t="str">
            <v/>
          </cell>
        </row>
        <row r="19">
          <cell r="A19">
            <v>47</v>
          </cell>
          <cell r="C19">
            <v>50</v>
          </cell>
          <cell r="G19">
            <v>50</v>
          </cell>
          <cell r="H19">
            <v>50</v>
          </cell>
          <cell r="M19" t="str">
            <v/>
          </cell>
          <cell r="N19">
            <v>102</v>
          </cell>
          <cell r="S19" t="str">
            <v/>
          </cell>
          <cell r="T19" t="str">
            <v/>
          </cell>
        </row>
        <row r="20">
          <cell r="A20">
            <v>48</v>
          </cell>
          <cell r="C20">
            <v>42</v>
          </cell>
          <cell r="G20">
            <v>42</v>
          </cell>
          <cell r="H20">
            <v>92</v>
          </cell>
          <cell r="I20">
            <v>25</v>
          </cell>
          <cell r="M20">
            <v>25</v>
          </cell>
          <cell r="N20">
            <v>127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>
            <v>92</v>
          </cell>
          <cell r="M21" t="str">
            <v/>
          </cell>
          <cell r="N21">
            <v>127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>
            <v>92</v>
          </cell>
          <cell r="M22" t="str">
            <v/>
          </cell>
          <cell r="N22">
            <v>127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>
            <v>92</v>
          </cell>
          <cell r="M23" t="str">
            <v/>
          </cell>
          <cell r="N23">
            <v>127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>
            <v>92</v>
          </cell>
          <cell r="M24" t="str">
            <v/>
          </cell>
          <cell r="N24">
            <v>127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>
            <v>92</v>
          </cell>
          <cell r="M25" t="str">
            <v/>
          </cell>
          <cell r="N25">
            <v>127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>
            <v>92</v>
          </cell>
          <cell r="M26" t="str">
            <v/>
          </cell>
          <cell r="N26">
            <v>127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>
            <v>92</v>
          </cell>
          <cell r="M27" t="str">
            <v/>
          </cell>
          <cell r="N27">
            <v>127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>
            <v>92</v>
          </cell>
          <cell r="M28" t="str">
            <v/>
          </cell>
          <cell r="N28">
            <v>127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>
            <v>92</v>
          </cell>
          <cell r="M29" t="str">
            <v/>
          </cell>
          <cell r="N29">
            <v>127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>
            <v>92</v>
          </cell>
          <cell r="M30" t="str">
            <v/>
          </cell>
          <cell r="N30">
            <v>127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>
            <v>92</v>
          </cell>
          <cell r="M31" t="str">
            <v/>
          </cell>
          <cell r="N31">
            <v>127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>
            <v>92</v>
          </cell>
          <cell r="M32" t="str">
            <v/>
          </cell>
          <cell r="N32">
            <v>127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>
            <v>92</v>
          </cell>
          <cell r="D33" t="str">
            <v/>
          </cell>
          <cell r="E33" t="str">
            <v/>
          </cell>
          <cell r="G33">
            <v>92</v>
          </cell>
          <cell r="H33">
            <v>92</v>
          </cell>
          <cell r="I33">
            <v>102</v>
          </cell>
          <cell r="J33" t="str">
            <v/>
          </cell>
          <cell r="K33">
            <v>25</v>
          </cell>
          <cell r="M33">
            <v>127</v>
          </cell>
          <cell r="N33">
            <v>127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2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I10">
            <v>350</v>
          </cell>
          <cell r="M10">
            <v>350</v>
          </cell>
          <cell r="N10">
            <v>350</v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>
            <v>350</v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M12" t="str">
            <v/>
          </cell>
          <cell r="N12">
            <v>350</v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I13">
            <v>150</v>
          </cell>
          <cell r="M13">
            <v>150</v>
          </cell>
          <cell r="N13">
            <v>500</v>
          </cell>
          <cell r="S13" t="str">
            <v/>
          </cell>
          <cell r="T13" t="str">
            <v/>
          </cell>
        </row>
        <row r="14">
          <cell r="A14">
            <v>42</v>
          </cell>
          <cell r="C14">
            <v>25</v>
          </cell>
          <cell r="G14">
            <v>25</v>
          </cell>
          <cell r="H14">
            <v>25</v>
          </cell>
          <cell r="M14" t="str">
            <v/>
          </cell>
          <cell r="N14">
            <v>500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>
            <v>25</v>
          </cell>
          <cell r="I15">
            <v>25</v>
          </cell>
          <cell r="M15">
            <v>25</v>
          </cell>
          <cell r="N15">
            <v>525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>
            <v>25</v>
          </cell>
          <cell r="M16" t="str">
            <v/>
          </cell>
          <cell r="N16">
            <v>525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>
            <v>25</v>
          </cell>
          <cell r="I17">
            <v>25</v>
          </cell>
          <cell r="M17">
            <v>25</v>
          </cell>
          <cell r="N17">
            <v>550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>
            <v>25</v>
          </cell>
          <cell r="I18">
            <v>200</v>
          </cell>
          <cell r="M18">
            <v>200</v>
          </cell>
          <cell r="N18">
            <v>750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>
            <v>25</v>
          </cell>
          <cell r="I19">
            <v>602</v>
          </cell>
          <cell r="M19">
            <v>602</v>
          </cell>
          <cell r="N19">
            <v>1352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>
            <v>25</v>
          </cell>
          <cell r="I20">
            <v>700</v>
          </cell>
          <cell r="M20">
            <v>700</v>
          </cell>
          <cell r="N20">
            <v>2052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>
            <v>25</v>
          </cell>
          <cell r="I21">
            <v>425</v>
          </cell>
          <cell r="M21">
            <v>425</v>
          </cell>
          <cell r="N21">
            <v>2477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>
            <v>25</v>
          </cell>
          <cell r="I22">
            <v>307</v>
          </cell>
          <cell r="M22">
            <v>307</v>
          </cell>
          <cell r="N22">
            <v>2784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>
            <v>25</v>
          </cell>
          <cell r="I23">
            <v>1675</v>
          </cell>
          <cell r="M23">
            <v>1675</v>
          </cell>
          <cell r="N23">
            <v>4459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>
            <v>25</v>
          </cell>
          <cell r="I24">
            <v>500</v>
          </cell>
          <cell r="M24">
            <v>500</v>
          </cell>
          <cell r="N24">
            <v>4959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>
            <v>25</v>
          </cell>
          <cell r="M25" t="str">
            <v/>
          </cell>
          <cell r="N25">
            <v>4959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>
            <v>25</v>
          </cell>
          <cell r="M26" t="str">
            <v/>
          </cell>
          <cell r="N26">
            <v>4959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>
            <v>25</v>
          </cell>
          <cell r="M27" t="str">
            <v/>
          </cell>
          <cell r="N27">
            <v>4959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>
            <v>25</v>
          </cell>
          <cell r="M28" t="str">
            <v/>
          </cell>
          <cell r="N28">
            <v>4959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>
            <v>25</v>
          </cell>
          <cell r="M29" t="str">
            <v/>
          </cell>
          <cell r="N29">
            <v>4959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>
            <v>25</v>
          </cell>
          <cell r="M30" t="str">
            <v/>
          </cell>
          <cell r="N30">
            <v>4959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>
            <v>25</v>
          </cell>
          <cell r="M31" t="str">
            <v/>
          </cell>
          <cell r="N31">
            <v>4959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>
            <v>25</v>
          </cell>
          <cell r="M32" t="str">
            <v/>
          </cell>
          <cell r="N32">
            <v>4959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>
            <v>25</v>
          </cell>
          <cell r="D33" t="str">
            <v/>
          </cell>
          <cell r="E33" t="str">
            <v/>
          </cell>
          <cell r="G33">
            <v>25</v>
          </cell>
          <cell r="H33">
            <v>25</v>
          </cell>
          <cell r="I33">
            <v>4959</v>
          </cell>
          <cell r="J33" t="str">
            <v/>
          </cell>
          <cell r="K33" t="str">
            <v/>
          </cell>
          <cell r="M33">
            <v>4959</v>
          </cell>
          <cell r="N33">
            <v>4959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3" refreshError="1">
        <row r="1">
          <cell r="A1" t="str">
            <v>Lithografie: Herr Schulz</v>
          </cell>
        </row>
        <row r="3">
          <cell r="A3" t="str">
            <v>Zeitraum [LW]</v>
          </cell>
          <cell r="C3" t="str">
            <v>Scheibentyp</v>
          </cell>
        </row>
        <row r="4">
          <cell r="C4" t="str">
            <v>Produktiv</v>
          </cell>
          <cell r="I4" t="str">
            <v>Test</v>
          </cell>
          <cell r="O4" t="str">
            <v>Recycling</v>
          </cell>
        </row>
        <row r="5">
          <cell r="C5" t="str">
            <v>EPI-Prime</v>
          </cell>
          <cell r="G5" t="str">
            <v>Gesamt</v>
          </cell>
          <cell r="H5" t="str">
            <v>Kumuliert</v>
          </cell>
          <cell r="I5" t="str">
            <v>CZ-Monit.</v>
          </cell>
          <cell r="J5" t="str">
            <v>CZ-M.n-T.</v>
          </cell>
          <cell r="K5" t="str">
            <v>EPI-Ausf.</v>
          </cell>
          <cell r="L5" t="str">
            <v>CZ-M.vor.</v>
          </cell>
          <cell r="M5" t="str">
            <v>Gesamt</v>
          </cell>
          <cell r="N5" t="str">
            <v>Kumuliert</v>
          </cell>
          <cell r="S5" t="str">
            <v>Gesamt</v>
          </cell>
          <cell r="T5" t="str">
            <v>Kumuliert</v>
          </cell>
        </row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I10">
            <v>25</v>
          </cell>
          <cell r="L10">
            <v>50</v>
          </cell>
          <cell r="M10">
            <v>75</v>
          </cell>
          <cell r="N10">
            <v>75</v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>
            <v>75</v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I12">
            <v>100</v>
          </cell>
          <cell r="L12">
            <v>125</v>
          </cell>
          <cell r="M12">
            <v>225</v>
          </cell>
          <cell r="N12">
            <v>300</v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M13" t="str">
            <v/>
          </cell>
          <cell r="N13">
            <v>300</v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L14">
            <v>75</v>
          </cell>
          <cell r="M14">
            <v>75</v>
          </cell>
          <cell r="N14">
            <v>375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I15">
            <v>50</v>
          </cell>
          <cell r="L15">
            <v>75</v>
          </cell>
          <cell r="M15">
            <v>125</v>
          </cell>
          <cell r="N15">
            <v>500</v>
          </cell>
          <cell r="S15" t="str">
            <v/>
          </cell>
          <cell r="T15" t="str">
            <v/>
          </cell>
        </row>
        <row r="16">
          <cell r="A16">
            <v>44</v>
          </cell>
          <cell r="C16">
            <v>25</v>
          </cell>
          <cell r="G16">
            <v>25</v>
          </cell>
          <cell r="H16">
            <v>25</v>
          </cell>
          <cell r="I16">
            <v>125</v>
          </cell>
          <cell r="M16">
            <v>125</v>
          </cell>
          <cell r="N16">
            <v>625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>
            <v>25</v>
          </cell>
          <cell r="I17">
            <v>50</v>
          </cell>
          <cell r="M17">
            <v>50</v>
          </cell>
          <cell r="N17">
            <v>675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>
            <v>25</v>
          </cell>
          <cell r="I18">
            <v>50</v>
          </cell>
          <cell r="M18">
            <v>50</v>
          </cell>
          <cell r="N18">
            <v>725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>
            <v>25</v>
          </cell>
          <cell r="I19">
            <v>50</v>
          </cell>
          <cell r="M19">
            <v>50</v>
          </cell>
          <cell r="N19">
            <v>775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>
            <v>25</v>
          </cell>
          <cell r="I20">
            <v>50</v>
          </cell>
          <cell r="M20">
            <v>50</v>
          </cell>
          <cell r="N20">
            <v>825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>
            <v>25</v>
          </cell>
          <cell r="I21">
            <v>100</v>
          </cell>
          <cell r="L21">
            <v>25</v>
          </cell>
          <cell r="M21">
            <v>125</v>
          </cell>
          <cell r="N21">
            <v>950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>
            <v>25</v>
          </cell>
          <cell r="I22">
            <v>49</v>
          </cell>
          <cell r="M22">
            <v>49</v>
          </cell>
          <cell r="N22">
            <v>999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>
            <v>25</v>
          </cell>
          <cell r="I23">
            <v>116</v>
          </cell>
          <cell r="L23">
            <v>25</v>
          </cell>
          <cell r="M23">
            <v>141</v>
          </cell>
          <cell r="N23">
            <v>1140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>
            <v>25</v>
          </cell>
          <cell r="M24" t="str">
            <v/>
          </cell>
          <cell r="N24">
            <v>1140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>
            <v>25</v>
          </cell>
          <cell r="M25" t="str">
            <v/>
          </cell>
          <cell r="N25">
            <v>1140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>
            <v>25</v>
          </cell>
          <cell r="M26" t="str">
            <v/>
          </cell>
          <cell r="N26">
            <v>1140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>
            <v>25</v>
          </cell>
          <cell r="M27" t="str">
            <v/>
          </cell>
          <cell r="N27">
            <v>1140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>
            <v>25</v>
          </cell>
          <cell r="M28" t="str">
            <v/>
          </cell>
          <cell r="N28">
            <v>1140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>
            <v>25</v>
          </cell>
          <cell r="M29" t="str">
            <v/>
          </cell>
          <cell r="N29">
            <v>1140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>
            <v>25</v>
          </cell>
          <cell r="M30" t="str">
            <v/>
          </cell>
          <cell r="N30">
            <v>1140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>
            <v>25</v>
          </cell>
          <cell r="M31" t="str">
            <v/>
          </cell>
          <cell r="N31">
            <v>1140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>
            <v>25</v>
          </cell>
          <cell r="M32" t="str">
            <v/>
          </cell>
          <cell r="N32">
            <v>1140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>
            <v>25</v>
          </cell>
          <cell r="D33" t="str">
            <v/>
          </cell>
          <cell r="E33" t="str">
            <v/>
          </cell>
          <cell r="G33">
            <v>25</v>
          </cell>
          <cell r="H33">
            <v>25</v>
          </cell>
          <cell r="I33">
            <v>765</v>
          </cell>
          <cell r="J33" t="str">
            <v/>
          </cell>
          <cell r="K33" t="str">
            <v/>
          </cell>
          <cell r="M33">
            <v>765</v>
          </cell>
          <cell r="N33">
            <v>1140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4" refreshError="1">
        <row r="6">
          <cell r="A6">
            <v>34</v>
          </cell>
          <cell r="G6" t="str">
            <v/>
          </cell>
          <cell r="H6" t="str">
            <v/>
          </cell>
          <cell r="I6">
            <v>100</v>
          </cell>
          <cell r="L6">
            <v>100</v>
          </cell>
          <cell r="M6">
            <v>200</v>
          </cell>
          <cell r="N6">
            <v>200</v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>
            <v>200</v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>
            <v>200</v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L9">
            <v>100</v>
          </cell>
          <cell r="M9">
            <v>100</v>
          </cell>
          <cell r="N9">
            <v>300</v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M10" t="str">
            <v/>
          </cell>
          <cell r="N10">
            <v>300</v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>
            <v>300</v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M12" t="str">
            <v/>
          </cell>
          <cell r="N12">
            <v>300</v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I13">
            <v>50</v>
          </cell>
          <cell r="L13">
            <v>100</v>
          </cell>
          <cell r="M13">
            <v>150</v>
          </cell>
          <cell r="N13">
            <v>450</v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I14">
            <v>25</v>
          </cell>
          <cell r="L14">
            <v>10</v>
          </cell>
          <cell r="M14">
            <v>35</v>
          </cell>
          <cell r="N14">
            <v>485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I15">
            <v>50</v>
          </cell>
          <cell r="M15">
            <v>50</v>
          </cell>
          <cell r="N15">
            <v>535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I16">
            <v>200</v>
          </cell>
          <cell r="L16">
            <v>20</v>
          </cell>
          <cell r="M16">
            <v>220</v>
          </cell>
          <cell r="N16">
            <v>755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I17">
            <v>125</v>
          </cell>
          <cell r="L17">
            <v>171</v>
          </cell>
          <cell r="M17">
            <v>296</v>
          </cell>
          <cell r="N17">
            <v>1051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I18">
            <v>375</v>
          </cell>
          <cell r="L18">
            <v>150</v>
          </cell>
          <cell r="M18">
            <v>525</v>
          </cell>
          <cell r="N18">
            <v>1576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 t="str">
            <v/>
          </cell>
          <cell r="I19">
            <v>800</v>
          </cell>
          <cell r="L19">
            <v>225</v>
          </cell>
          <cell r="M19">
            <v>1025</v>
          </cell>
          <cell r="N19">
            <v>2601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 t="str">
            <v/>
          </cell>
          <cell r="I20">
            <v>625</v>
          </cell>
          <cell r="L20">
            <v>325</v>
          </cell>
          <cell r="M20">
            <v>950</v>
          </cell>
          <cell r="N20">
            <v>3551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 t="str">
            <v/>
          </cell>
          <cell r="I21">
            <v>624</v>
          </cell>
          <cell r="L21">
            <v>175</v>
          </cell>
          <cell r="M21">
            <v>799</v>
          </cell>
          <cell r="N21">
            <v>4350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 t="str">
            <v/>
          </cell>
          <cell r="I22">
            <v>318</v>
          </cell>
          <cell r="L22">
            <v>125</v>
          </cell>
          <cell r="M22">
            <v>443</v>
          </cell>
          <cell r="N22">
            <v>4793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 t="str">
            <v/>
          </cell>
          <cell r="I23">
            <v>650</v>
          </cell>
          <cell r="L23">
            <v>775</v>
          </cell>
          <cell r="M23">
            <v>1425</v>
          </cell>
          <cell r="N23">
            <v>6218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 t="str">
            <v/>
          </cell>
          <cell r="I24">
            <v>381</v>
          </cell>
          <cell r="M24">
            <v>381</v>
          </cell>
          <cell r="N24">
            <v>6599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 t="str">
            <v/>
          </cell>
          <cell r="M25" t="str">
            <v/>
          </cell>
          <cell r="N25">
            <v>6599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 t="str">
            <v/>
          </cell>
          <cell r="M26" t="str">
            <v/>
          </cell>
          <cell r="N26">
            <v>6599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 t="str">
            <v/>
          </cell>
          <cell r="M27" t="str">
            <v/>
          </cell>
          <cell r="N27">
            <v>6599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 t="str">
            <v/>
          </cell>
          <cell r="M28" t="str">
            <v/>
          </cell>
          <cell r="N28">
            <v>6599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 t="str">
            <v/>
          </cell>
          <cell r="M29" t="str">
            <v/>
          </cell>
          <cell r="N29">
            <v>6599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 t="str">
            <v/>
          </cell>
          <cell r="M30" t="str">
            <v/>
          </cell>
          <cell r="N30">
            <v>6599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 t="str">
            <v/>
          </cell>
          <cell r="M31" t="str">
            <v/>
          </cell>
          <cell r="N31">
            <v>6599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 t="str">
            <v/>
          </cell>
          <cell r="M32" t="str">
            <v/>
          </cell>
          <cell r="N32">
            <v>6599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 t="str">
            <v/>
          </cell>
          <cell r="D33" t="str">
            <v/>
          </cell>
          <cell r="E33" t="str">
            <v/>
          </cell>
          <cell r="G33" t="str">
            <v/>
          </cell>
          <cell r="H33" t="str">
            <v/>
          </cell>
          <cell r="I33">
            <v>4323</v>
          </cell>
          <cell r="J33" t="str">
            <v/>
          </cell>
          <cell r="K33" t="str">
            <v/>
          </cell>
          <cell r="M33">
            <v>4323</v>
          </cell>
          <cell r="N33">
            <v>6599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5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I7">
            <v>10</v>
          </cell>
          <cell r="M7">
            <v>10</v>
          </cell>
          <cell r="N7">
            <v>10</v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>
            <v>10</v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I9">
            <v>225</v>
          </cell>
          <cell r="K9">
            <v>25</v>
          </cell>
          <cell r="M9">
            <v>250</v>
          </cell>
          <cell r="N9">
            <v>260</v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M10" t="str">
            <v/>
          </cell>
          <cell r="N10">
            <v>260</v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I11">
            <v>25</v>
          </cell>
          <cell r="M11">
            <v>25</v>
          </cell>
          <cell r="N11">
            <v>285</v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M12" t="str">
            <v/>
          </cell>
          <cell r="N12">
            <v>285</v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M13" t="str">
            <v/>
          </cell>
          <cell r="N13">
            <v>285</v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M14" t="str">
            <v/>
          </cell>
          <cell r="N14">
            <v>285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I15">
            <v>25</v>
          </cell>
          <cell r="L15">
            <v>12</v>
          </cell>
          <cell r="M15">
            <v>37</v>
          </cell>
          <cell r="N15">
            <v>322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I16">
            <v>50</v>
          </cell>
          <cell r="J16">
            <v>25</v>
          </cell>
          <cell r="L16">
            <v>2</v>
          </cell>
          <cell r="M16">
            <v>77</v>
          </cell>
          <cell r="N16">
            <v>399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I17">
            <v>140</v>
          </cell>
          <cell r="L17">
            <v>125</v>
          </cell>
          <cell r="M17">
            <v>265</v>
          </cell>
          <cell r="N17">
            <v>664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I18">
            <v>266</v>
          </cell>
          <cell r="L18">
            <v>75</v>
          </cell>
          <cell r="M18">
            <v>341</v>
          </cell>
          <cell r="N18">
            <v>1005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 t="str">
            <v/>
          </cell>
          <cell r="I19">
            <v>246</v>
          </cell>
          <cell r="J19">
            <v>100</v>
          </cell>
          <cell r="L19">
            <v>150</v>
          </cell>
          <cell r="M19">
            <v>496</v>
          </cell>
          <cell r="N19">
            <v>1501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 t="str">
            <v/>
          </cell>
          <cell r="I20">
            <v>75</v>
          </cell>
          <cell r="L20">
            <v>75</v>
          </cell>
          <cell r="M20">
            <v>150</v>
          </cell>
          <cell r="N20">
            <v>1651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 t="str">
            <v/>
          </cell>
          <cell r="I21">
            <v>175</v>
          </cell>
          <cell r="L21">
            <v>100</v>
          </cell>
          <cell r="M21">
            <v>275</v>
          </cell>
          <cell r="N21">
            <v>1926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 t="str">
            <v/>
          </cell>
          <cell r="I22">
            <v>125</v>
          </cell>
          <cell r="L22">
            <v>100</v>
          </cell>
          <cell r="M22">
            <v>225</v>
          </cell>
          <cell r="N22">
            <v>2151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 t="str">
            <v/>
          </cell>
          <cell r="I23">
            <v>150</v>
          </cell>
          <cell r="L23">
            <v>75</v>
          </cell>
          <cell r="M23">
            <v>225</v>
          </cell>
          <cell r="N23">
            <v>2376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 t="str">
            <v/>
          </cell>
          <cell r="I24">
            <v>325</v>
          </cell>
          <cell r="M24">
            <v>325</v>
          </cell>
          <cell r="N24">
            <v>2701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 t="str">
            <v/>
          </cell>
          <cell r="M25" t="str">
            <v/>
          </cell>
          <cell r="N25">
            <v>2701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 t="str">
            <v/>
          </cell>
          <cell r="M26" t="str">
            <v/>
          </cell>
          <cell r="N26">
            <v>2701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 t="str">
            <v/>
          </cell>
          <cell r="M27" t="str">
            <v/>
          </cell>
          <cell r="N27">
            <v>2701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 t="str">
            <v/>
          </cell>
          <cell r="M28" t="str">
            <v/>
          </cell>
          <cell r="N28">
            <v>2701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 t="str">
            <v/>
          </cell>
          <cell r="M29" t="str">
            <v/>
          </cell>
          <cell r="N29">
            <v>2701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 t="str">
            <v/>
          </cell>
          <cell r="M30" t="str">
            <v/>
          </cell>
          <cell r="N30">
            <v>2701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 t="str">
            <v/>
          </cell>
          <cell r="M31" t="str">
            <v/>
          </cell>
          <cell r="N31">
            <v>2701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 t="str">
            <v/>
          </cell>
          <cell r="M32" t="str">
            <v/>
          </cell>
          <cell r="N32">
            <v>2701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 t="str">
            <v/>
          </cell>
          <cell r="D33" t="str">
            <v/>
          </cell>
          <cell r="E33" t="str">
            <v/>
          </cell>
          <cell r="G33" t="str">
            <v/>
          </cell>
          <cell r="H33" t="str">
            <v/>
          </cell>
          <cell r="I33">
            <v>1837</v>
          </cell>
          <cell r="J33">
            <v>125</v>
          </cell>
          <cell r="K33">
            <v>25</v>
          </cell>
          <cell r="M33">
            <v>1987</v>
          </cell>
          <cell r="N33">
            <v>2701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6" refreshError="1">
        <row r="6">
          <cell r="A6">
            <v>34</v>
          </cell>
          <cell r="G6" t="str">
            <v/>
          </cell>
          <cell r="H6" t="str">
            <v/>
          </cell>
          <cell r="I6">
            <v>50</v>
          </cell>
          <cell r="M6">
            <v>50</v>
          </cell>
          <cell r="N6">
            <v>50</v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>
            <v>50</v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>
            <v>50</v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I9">
            <v>98</v>
          </cell>
          <cell r="M9">
            <v>98</v>
          </cell>
          <cell r="N9">
            <v>148</v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I10">
            <v>124</v>
          </cell>
          <cell r="L10">
            <v>25</v>
          </cell>
          <cell r="M10">
            <v>149</v>
          </cell>
          <cell r="N10">
            <v>297</v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I11">
            <v>154</v>
          </cell>
          <cell r="M11">
            <v>154</v>
          </cell>
          <cell r="N11">
            <v>451</v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M12" t="str">
            <v/>
          </cell>
          <cell r="N12">
            <v>451</v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L13">
            <v>25</v>
          </cell>
          <cell r="M13">
            <v>25</v>
          </cell>
          <cell r="N13">
            <v>476</v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I14">
            <v>300</v>
          </cell>
          <cell r="M14">
            <v>300</v>
          </cell>
          <cell r="N14">
            <v>776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M15" t="str">
            <v/>
          </cell>
          <cell r="N15">
            <v>776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I16">
            <v>210</v>
          </cell>
          <cell r="L16">
            <v>75</v>
          </cell>
          <cell r="M16">
            <v>285</v>
          </cell>
          <cell r="N16">
            <v>1061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M17" t="str">
            <v/>
          </cell>
          <cell r="N17">
            <v>1061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I18">
            <v>100</v>
          </cell>
          <cell r="M18">
            <v>100</v>
          </cell>
          <cell r="N18">
            <v>1161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 t="str">
            <v/>
          </cell>
          <cell r="I19">
            <v>71</v>
          </cell>
          <cell r="M19">
            <v>71</v>
          </cell>
          <cell r="N19">
            <v>1232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 t="str">
            <v/>
          </cell>
          <cell r="I20">
            <v>350</v>
          </cell>
          <cell r="L20">
            <v>225</v>
          </cell>
          <cell r="M20">
            <v>575</v>
          </cell>
          <cell r="N20">
            <v>1807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 t="str">
            <v/>
          </cell>
          <cell r="I21">
            <v>150</v>
          </cell>
          <cell r="M21">
            <v>150</v>
          </cell>
          <cell r="N21">
            <v>1957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 t="str">
            <v/>
          </cell>
          <cell r="I22">
            <v>175</v>
          </cell>
          <cell r="L22">
            <v>25</v>
          </cell>
          <cell r="M22">
            <v>200</v>
          </cell>
          <cell r="N22">
            <v>2157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 t="str">
            <v/>
          </cell>
          <cell r="I23">
            <v>325</v>
          </cell>
          <cell r="M23">
            <v>325</v>
          </cell>
          <cell r="N23">
            <v>2482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 t="str">
            <v/>
          </cell>
          <cell r="I24">
            <v>225</v>
          </cell>
          <cell r="M24">
            <v>225</v>
          </cell>
          <cell r="N24">
            <v>2707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 t="str">
            <v/>
          </cell>
          <cell r="M25" t="str">
            <v/>
          </cell>
          <cell r="N25">
            <v>2707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 t="str">
            <v/>
          </cell>
          <cell r="M26" t="str">
            <v/>
          </cell>
          <cell r="N26">
            <v>2707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 t="str">
            <v/>
          </cell>
          <cell r="M27" t="str">
            <v/>
          </cell>
          <cell r="N27">
            <v>2707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 t="str">
            <v/>
          </cell>
          <cell r="M28" t="str">
            <v/>
          </cell>
          <cell r="N28">
            <v>2707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 t="str">
            <v/>
          </cell>
          <cell r="M29" t="str">
            <v/>
          </cell>
          <cell r="N29">
            <v>2707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 t="str">
            <v/>
          </cell>
          <cell r="M30" t="str">
            <v/>
          </cell>
          <cell r="N30">
            <v>2707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 t="str">
            <v/>
          </cell>
          <cell r="M31" t="str">
            <v/>
          </cell>
          <cell r="N31">
            <v>2707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 t="str">
            <v/>
          </cell>
          <cell r="M32" t="str">
            <v/>
          </cell>
          <cell r="N32">
            <v>2707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 t="str">
            <v/>
          </cell>
          <cell r="D33" t="str">
            <v/>
          </cell>
          <cell r="E33" t="str">
            <v/>
          </cell>
          <cell r="G33" t="str">
            <v/>
          </cell>
          <cell r="H33" t="str">
            <v/>
          </cell>
          <cell r="I33">
            <v>2332</v>
          </cell>
          <cell r="J33" t="str">
            <v/>
          </cell>
          <cell r="K33" t="str">
            <v/>
          </cell>
          <cell r="M33">
            <v>2332</v>
          </cell>
          <cell r="N33">
            <v>2707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7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I14">
            <v>25</v>
          </cell>
          <cell r="M14">
            <v>25</v>
          </cell>
          <cell r="N14">
            <v>25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I15">
            <v>51</v>
          </cell>
          <cell r="L15">
            <v>25</v>
          </cell>
          <cell r="M15">
            <v>76</v>
          </cell>
          <cell r="N15">
            <v>101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I16">
            <v>100</v>
          </cell>
          <cell r="M16">
            <v>100</v>
          </cell>
          <cell r="N16">
            <v>201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I17">
            <v>150</v>
          </cell>
          <cell r="L17">
            <v>150</v>
          </cell>
          <cell r="M17">
            <v>300</v>
          </cell>
          <cell r="N17">
            <v>501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I18">
            <v>100</v>
          </cell>
          <cell r="L18">
            <v>75</v>
          </cell>
          <cell r="M18">
            <v>175</v>
          </cell>
          <cell r="N18">
            <v>676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 t="str">
            <v/>
          </cell>
          <cell r="I19">
            <v>75</v>
          </cell>
          <cell r="M19">
            <v>75</v>
          </cell>
          <cell r="N19">
            <v>751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 t="str">
            <v/>
          </cell>
          <cell r="M20" t="str">
            <v/>
          </cell>
          <cell r="N20">
            <v>751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 t="str">
            <v/>
          </cell>
          <cell r="I21">
            <v>77</v>
          </cell>
          <cell r="L21">
            <v>50</v>
          </cell>
          <cell r="M21">
            <v>127</v>
          </cell>
          <cell r="N21">
            <v>878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 t="str">
            <v/>
          </cell>
          <cell r="I22">
            <v>100</v>
          </cell>
          <cell r="M22">
            <v>100</v>
          </cell>
          <cell r="N22">
            <v>978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 t="str">
            <v/>
          </cell>
          <cell r="I23">
            <v>100</v>
          </cell>
          <cell r="M23">
            <v>100</v>
          </cell>
          <cell r="N23">
            <v>1078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 t="str">
            <v/>
          </cell>
          <cell r="M24" t="str">
            <v/>
          </cell>
          <cell r="N24">
            <v>1078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 t="str">
            <v/>
          </cell>
          <cell r="M25" t="str">
            <v/>
          </cell>
          <cell r="N25">
            <v>1078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 t="str">
            <v/>
          </cell>
          <cell r="M26" t="str">
            <v/>
          </cell>
          <cell r="N26">
            <v>1078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 t="str">
            <v/>
          </cell>
          <cell r="M27" t="str">
            <v/>
          </cell>
          <cell r="N27">
            <v>1078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 t="str">
            <v/>
          </cell>
          <cell r="M28" t="str">
            <v/>
          </cell>
          <cell r="N28">
            <v>1078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 t="str">
            <v/>
          </cell>
          <cell r="M29" t="str">
            <v/>
          </cell>
          <cell r="N29">
            <v>1078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 t="str">
            <v/>
          </cell>
          <cell r="M30" t="str">
            <v/>
          </cell>
          <cell r="N30">
            <v>1078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 t="str">
            <v/>
          </cell>
          <cell r="M31" t="str">
            <v/>
          </cell>
          <cell r="N31">
            <v>1078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 t="str">
            <v/>
          </cell>
          <cell r="M32" t="str">
            <v/>
          </cell>
          <cell r="N32">
            <v>1078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 t="str">
            <v/>
          </cell>
          <cell r="D33" t="str">
            <v/>
          </cell>
          <cell r="E33" t="str">
            <v/>
          </cell>
          <cell r="G33" t="str">
            <v/>
          </cell>
          <cell r="H33" t="str">
            <v/>
          </cell>
          <cell r="I33">
            <v>778</v>
          </cell>
          <cell r="J33" t="str">
            <v/>
          </cell>
          <cell r="K33" t="str">
            <v/>
          </cell>
          <cell r="M33">
            <v>778</v>
          </cell>
          <cell r="N33">
            <v>1078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8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C8">
            <v>1</v>
          </cell>
          <cell r="G8">
            <v>1</v>
          </cell>
          <cell r="H8">
            <v>1</v>
          </cell>
          <cell r="I8">
            <v>27</v>
          </cell>
          <cell r="M8">
            <v>27</v>
          </cell>
          <cell r="N8">
            <v>27</v>
          </cell>
          <cell r="S8" t="str">
            <v/>
          </cell>
          <cell r="T8" t="str">
            <v/>
          </cell>
        </row>
        <row r="9">
          <cell r="A9">
            <v>37</v>
          </cell>
          <cell r="C9">
            <v>24</v>
          </cell>
          <cell r="G9">
            <v>24</v>
          </cell>
          <cell r="H9">
            <v>25</v>
          </cell>
          <cell r="K9">
            <v>25</v>
          </cell>
          <cell r="M9">
            <v>25</v>
          </cell>
          <cell r="N9">
            <v>52</v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>
            <v>25</v>
          </cell>
          <cell r="M10" t="str">
            <v/>
          </cell>
          <cell r="N10">
            <v>52</v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>
            <v>25</v>
          </cell>
          <cell r="I11">
            <v>75</v>
          </cell>
          <cell r="M11">
            <v>75</v>
          </cell>
          <cell r="N11">
            <v>127</v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>
            <v>25</v>
          </cell>
          <cell r="M12" t="str">
            <v/>
          </cell>
          <cell r="N12">
            <v>127</v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>
            <v>25</v>
          </cell>
          <cell r="I13">
            <v>75</v>
          </cell>
          <cell r="M13">
            <v>75</v>
          </cell>
          <cell r="N13">
            <v>202</v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>
            <v>25</v>
          </cell>
          <cell r="I14">
            <v>26</v>
          </cell>
          <cell r="M14">
            <v>26</v>
          </cell>
          <cell r="N14">
            <v>228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>
            <v>25</v>
          </cell>
          <cell r="I15">
            <v>4</v>
          </cell>
          <cell r="M15">
            <v>4</v>
          </cell>
          <cell r="N15">
            <v>232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>
            <v>25</v>
          </cell>
          <cell r="I16">
            <v>25</v>
          </cell>
          <cell r="M16">
            <v>25</v>
          </cell>
          <cell r="N16">
            <v>257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>
            <v>25</v>
          </cell>
          <cell r="I17">
            <v>27</v>
          </cell>
          <cell r="M17">
            <v>27</v>
          </cell>
          <cell r="N17">
            <v>284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>
            <v>25</v>
          </cell>
          <cell r="M18" t="str">
            <v/>
          </cell>
          <cell r="N18">
            <v>284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>
            <v>25</v>
          </cell>
          <cell r="M19" t="str">
            <v/>
          </cell>
          <cell r="N19">
            <v>284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>
            <v>25</v>
          </cell>
          <cell r="M20" t="str">
            <v/>
          </cell>
          <cell r="N20">
            <v>284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>
            <v>25</v>
          </cell>
          <cell r="I21">
            <v>1</v>
          </cell>
          <cell r="M21">
            <v>1</v>
          </cell>
          <cell r="N21">
            <v>285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>
            <v>25</v>
          </cell>
          <cell r="I22">
            <v>3</v>
          </cell>
          <cell r="M22">
            <v>3</v>
          </cell>
          <cell r="N22">
            <v>288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>
            <v>25</v>
          </cell>
          <cell r="I23">
            <v>8</v>
          </cell>
          <cell r="M23">
            <v>8</v>
          </cell>
          <cell r="N23">
            <v>296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>
            <v>25</v>
          </cell>
          <cell r="M24" t="str">
            <v/>
          </cell>
          <cell r="N24">
            <v>296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>
            <v>25</v>
          </cell>
          <cell r="M25" t="str">
            <v/>
          </cell>
          <cell r="N25">
            <v>296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>
            <v>25</v>
          </cell>
          <cell r="M26" t="str">
            <v/>
          </cell>
          <cell r="N26">
            <v>296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>
            <v>25</v>
          </cell>
          <cell r="M27" t="str">
            <v/>
          </cell>
          <cell r="N27">
            <v>296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>
            <v>25</v>
          </cell>
          <cell r="M28" t="str">
            <v/>
          </cell>
          <cell r="N28">
            <v>296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>
            <v>25</v>
          </cell>
          <cell r="M29" t="str">
            <v/>
          </cell>
          <cell r="N29">
            <v>296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>
            <v>25</v>
          </cell>
          <cell r="M30" t="str">
            <v/>
          </cell>
          <cell r="N30">
            <v>296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>
            <v>25</v>
          </cell>
          <cell r="M31" t="str">
            <v/>
          </cell>
          <cell r="N31">
            <v>296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>
            <v>25</v>
          </cell>
          <cell r="M32" t="str">
            <v/>
          </cell>
          <cell r="N32">
            <v>296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>
            <v>25</v>
          </cell>
          <cell r="D33" t="str">
            <v/>
          </cell>
          <cell r="E33" t="str">
            <v/>
          </cell>
          <cell r="G33">
            <v>25</v>
          </cell>
          <cell r="H33">
            <v>25</v>
          </cell>
          <cell r="I33">
            <v>271</v>
          </cell>
          <cell r="J33" t="str">
            <v/>
          </cell>
          <cell r="K33">
            <v>25</v>
          </cell>
          <cell r="M33">
            <v>296</v>
          </cell>
          <cell r="N33">
            <v>296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9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I10">
            <v>25</v>
          </cell>
          <cell r="M10">
            <v>25</v>
          </cell>
          <cell r="N10">
            <v>25</v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>
            <v>25</v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M12" t="str">
            <v/>
          </cell>
          <cell r="N12">
            <v>25</v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M13" t="str">
            <v/>
          </cell>
          <cell r="N13">
            <v>25</v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I14">
            <v>25</v>
          </cell>
          <cell r="M14">
            <v>25</v>
          </cell>
          <cell r="N14">
            <v>50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M15" t="str">
            <v/>
          </cell>
          <cell r="N15">
            <v>50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M16" t="str">
            <v/>
          </cell>
          <cell r="N16">
            <v>50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I17">
            <v>50</v>
          </cell>
          <cell r="M17">
            <v>50</v>
          </cell>
          <cell r="N17">
            <v>100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M18" t="str">
            <v/>
          </cell>
          <cell r="N18">
            <v>100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 t="str">
            <v/>
          </cell>
          <cell r="I19">
            <v>50</v>
          </cell>
          <cell r="M19">
            <v>50</v>
          </cell>
          <cell r="N19">
            <v>150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 t="str">
            <v/>
          </cell>
          <cell r="M20" t="str">
            <v/>
          </cell>
          <cell r="N20">
            <v>150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 t="str">
            <v/>
          </cell>
          <cell r="M21" t="str">
            <v/>
          </cell>
          <cell r="N21">
            <v>150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 t="str">
            <v/>
          </cell>
          <cell r="M22" t="str">
            <v/>
          </cell>
          <cell r="N22">
            <v>150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 t="str">
            <v/>
          </cell>
          <cell r="M23" t="str">
            <v/>
          </cell>
          <cell r="N23">
            <v>150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 t="str">
            <v/>
          </cell>
          <cell r="M24" t="str">
            <v/>
          </cell>
          <cell r="N24">
            <v>150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 t="str">
            <v/>
          </cell>
          <cell r="M25" t="str">
            <v/>
          </cell>
          <cell r="N25">
            <v>150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 t="str">
            <v/>
          </cell>
          <cell r="M26" t="str">
            <v/>
          </cell>
          <cell r="N26">
            <v>150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 t="str">
            <v/>
          </cell>
          <cell r="M27" t="str">
            <v/>
          </cell>
          <cell r="N27">
            <v>150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 t="str">
            <v/>
          </cell>
          <cell r="M28" t="str">
            <v/>
          </cell>
          <cell r="N28">
            <v>150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 t="str">
            <v/>
          </cell>
          <cell r="M29" t="str">
            <v/>
          </cell>
          <cell r="N29">
            <v>150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 t="str">
            <v/>
          </cell>
          <cell r="M30" t="str">
            <v/>
          </cell>
          <cell r="N30">
            <v>150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 t="str">
            <v/>
          </cell>
          <cell r="M31" t="str">
            <v/>
          </cell>
          <cell r="N31">
            <v>150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 t="str">
            <v/>
          </cell>
          <cell r="M32" t="str">
            <v/>
          </cell>
          <cell r="N32">
            <v>150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 t="str">
            <v/>
          </cell>
          <cell r="D33" t="str">
            <v/>
          </cell>
          <cell r="E33" t="str">
            <v/>
          </cell>
          <cell r="G33" t="str">
            <v/>
          </cell>
          <cell r="H33" t="str">
            <v/>
          </cell>
          <cell r="I33">
            <v>150</v>
          </cell>
          <cell r="J33" t="str">
            <v/>
          </cell>
          <cell r="K33" t="str">
            <v/>
          </cell>
          <cell r="M33">
            <v>150</v>
          </cell>
          <cell r="N33">
            <v>150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10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I14">
            <v>25</v>
          </cell>
          <cell r="M14">
            <v>25</v>
          </cell>
          <cell r="N14">
            <v>25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M15" t="str">
            <v/>
          </cell>
          <cell r="N15">
            <v>25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M16" t="str">
            <v/>
          </cell>
          <cell r="N16">
            <v>25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M17" t="str">
            <v/>
          </cell>
          <cell r="N17">
            <v>25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M18" t="str">
            <v/>
          </cell>
          <cell r="N18">
            <v>25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 t="str">
            <v/>
          </cell>
          <cell r="M19" t="str">
            <v/>
          </cell>
          <cell r="N19">
            <v>25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 t="str">
            <v/>
          </cell>
          <cell r="M20" t="str">
            <v/>
          </cell>
          <cell r="N20">
            <v>25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 t="str">
            <v/>
          </cell>
          <cell r="M21" t="str">
            <v/>
          </cell>
          <cell r="N21">
            <v>25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 t="str">
            <v/>
          </cell>
          <cell r="M22" t="str">
            <v/>
          </cell>
          <cell r="N22">
            <v>25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 t="str">
            <v/>
          </cell>
          <cell r="M23" t="str">
            <v/>
          </cell>
          <cell r="N23">
            <v>25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 t="str">
            <v/>
          </cell>
          <cell r="M24" t="str">
            <v/>
          </cell>
          <cell r="N24">
            <v>25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 t="str">
            <v/>
          </cell>
          <cell r="M25" t="str">
            <v/>
          </cell>
          <cell r="N25">
            <v>25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 t="str">
            <v/>
          </cell>
          <cell r="M26" t="str">
            <v/>
          </cell>
          <cell r="N26">
            <v>25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 t="str">
            <v/>
          </cell>
          <cell r="M27" t="str">
            <v/>
          </cell>
          <cell r="N27">
            <v>25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 t="str">
            <v/>
          </cell>
          <cell r="M28" t="str">
            <v/>
          </cell>
          <cell r="N28">
            <v>25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 t="str">
            <v/>
          </cell>
          <cell r="M29" t="str">
            <v/>
          </cell>
          <cell r="N29">
            <v>25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 t="str">
            <v/>
          </cell>
          <cell r="M30" t="str">
            <v/>
          </cell>
          <cell r="N30">
            <v>25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 t="str">
            <v/>
          </cell>
          <cell r="M31" t="str">
            <v/>
          </cell>
          <cell r="N31">
            <v>25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 t="str">
            <v/>
          </cell>
          <cell r="M32" t="str">
            <v/>
          </cell>
          <cell r="N32">
            <v>25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 t="str">
            <v/>
          </cell>
          <cell r="D33" t="str">
            <v/>
          </cell>
          <cell r="E33" t="str">
            <v/>
          </cell>
          <cell r="G33" t="str">
            <v/>
          </cell>
          <cell r="H33" t="str">
            <v/>
          </cell>
          <cell r="I33">
            <v>25</v>
          </cell>
          <cell r="J33" t="str">
            <v/>
          </cell>
          <cell r="K33" t="str">
            <v/>
          </cell>
          <cell r="M33">
            <v>25</v>
          </cell>
          <cell r="N33">
            <v>25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11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 t="str">
            <v/>
          </cell>
          <cell r="D33" t="str">
            <v/>
          </cell>
          <cell r="E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12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I8">
            <v>2</v>
          </cell>
          <cell r="M8">
            <v>2</v>
          </cell>
          <cell r="N8">
            <v>2</v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M9" t="str">
            <v/>
          </cell>
          <cell r="N9">
            <v>2</v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M10" t="str">
            <v/>
          </cell>
          <cell r="N10">
            <v>2</v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>
            <v>2</v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I12">
            <v>52</v>
          </cell>
          <cell r="M12">
            <v>52</v>
          </cell>
          <cell r="N12">
            <v>54</v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M13" t="str">
            <v/>
          </cell>
          <cell r="N13">
            <v>54</v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M14" t="str">
            <v/>
          </cell>
          <cell r="N14">
            <v>54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M15" t="str">
            <v/>
          </cell>
          <cell r="N15">
            <v>54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I16">
            <v>36</v>
          </cell>
          <cell r="M16">
            <v>36</v>
          </cell>
          <cell r="N16">
            <v>90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M17" t="str">
            <v/>
          </cell>
          <cell r="N17">
            <v>90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M18" t="str">
            <v/>
          </cell>
          <cell r="N18">
            <v>90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 t="str">
            <v/>
          </cell>
          <cell r="I19">
            <v>72</v>
          </cell>
          <cell r="M19">
            <v>72</v>
          </cell>
          <cell r="N19">
            <v>162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 t="str">
            <v/>
          </cell>
          <cell r="M20" t="str">
            <v/>
          </cell>
          <cell r="N20">
            <v>162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 t="str">
            <v/>
          </cell>
          <cell r="I21">
            <v>172</v>
          </cell>
          <cell r="M21">
            <v>172</v>
          </cell>
          <cell r="N21">
            <v>334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 t="str">
            <v/>
          </cell>
          <cell r="M22" t="str">
            <v/>
          </cell>
          <cell r="N22">
            <v>334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 t="str">
            <v/>
          </cell>
          <cell r="I23">
            <v>72</v>
          </cell>
          <cell r="M23">
            <v>72</v>
          </cell>
          <cell r="N23">
            <v>406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 t="str">
            <v/>
          </cell>
          <cell r="I24">
            <v>75</v>
          </cell>
          <cell r="M24">
            <v>75</v>
          </cell>
          <cell r="N24">
            <v>481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 t="str">
            <v/>
          </cell>
          <cell r="M25" t="str">
            <v/>
          </cell>
          <cell r="N25">
            <v>481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 t="str">
            <v/>
          </cell>
          <cell r="M26" t="str">
            <v/>
          </cell>
          <cell r="N26">
            <v>481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 t="str">
            <v/>
          </cell>
          <cell r="M27" t="str">
            <v/>
          </cell>
          <cell r="N27">
            <v>481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 t="str">
            <v/>
          </cell>
          <cell r="M28" t="str">
            <v/>
          </cell>
          <cell r="N28">
            <v>481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 t="str">
            <v/>
          </cell>
          <cell r="M29" t="str">
            <v/>
          </cell>
          <cell r="N29">
            <v>481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 t="str">
            <v/>
          </cell>
          <cell r="M30" t="str">
            <v/>
          </cell>
          <cell r="N30">
            <v>481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 t="str">
            <v/>
          </cell>
          <cell r="M31" t="str">
            <v/>
          </cell>
          <cell r="N31">
            <v>481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 t="str">
            <v/>
          </cell>
          <cell r="M32" t="str">
            <v/>
          </cell>
          <cell r="N32">
            <v>481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 t="str">
            <v/>
          </cell>
          <cell r="D33" t="str">
            <v/>
          </cell>
          <cell r="E33" t="str">
            <v/>
          </cell>
          <cell r="G33" t="str">
            <v/>
          </cell>
          <cell r="H33" t="str">
            <v/>
          </cell>
          <cell r="I33">
            <v>481</v>
          </cell>
          <cell r="J33" t="str">
            <v/>
          </cell>
          <cell r="K33" t="str">
            <v/>
          </cell>
          <cell r="M33">
            <v>481</v>
          </cell>
          <cell r="N33">
            <v>481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13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I13">
            <v>32</v>
          </cell>
          <cell r="M13">
            <v>32</v>
          </cell>
          <cell r="N13">
            <v>32</v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I14">
            <v>10</v>
          </cell>
          <cell r="J14">
            <v>10</v>
          </cell>
          <cell r="M14">
            <v>20</v>
          </cell>
          <cell r="N14">
            <v>52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I15">
            <v>50</v>
          </cell>
          <cell r="M15">
            <v>50</v>
          </cell>
          <cell r="N15">
            <v>102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I16">
            <v>14</v>
          </cell>
          <cell r="M16">
            <v>14</v>
          </cell>
          <cell r="N16">
            <v>116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M17" t="str">
            <v/>
          </cell>
          <cell r="N17">
            <v>116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M18" t="str">
            <v/>
          </cell>
          <cell r="N18">
            <v>116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 t="str">
            <v/>
          </cell>
          <cell r="M19" t="str">
            <v/>
          </cell>
          <cell r="N19">
            <v>116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 t="str">
            <v/>
          </cell>
          <cell r="M20" t="str">
            <v/>
          </cell>
          <cell r="N20">
            <v>116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 t="str">
            <v/>
          </cell>
          <cell r="M21" t="str">
            <v/>
          </cell>
          <cell r="N21">
            <v>116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 t="str">
            <v/>
          </cell>
          <cell r="M22" t="str">
            <v/>
          </cell>
          <cell r="N22">
            <v>116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 t="str">
            <v/>
          </cell>
          <cell r="M23" t="str">
            <v/>
          </cell>
          <cell r="N23">
            <v>116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 t="str">
            <v/>
          </cell>
          <cell r="M24" t="str">
            <v/>
          </cell>
          <cell r="N24">
            <v>116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 t="str">
            <v/>
          </cell>
          <cell r="M25" t="str">
            <v/>
          </cell>
          <cell r="N25">
            <v>116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 t="str">
            <v/>
          </cell>
          <cell r="M26" t="str">
            <v/>
          </cell>
          <cell r="N26">
            <v>116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 t="str">
            <v/>
          </cell>
          <cell r="M27" t="str">
            <v/>
          </cell>
          <cell r="N27">
            <v>116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 t="str">
            <v/>
          </cell>
          <cell r="M28" t="str">
            <v/>
          </cell>
          <cell r="N28">
            <v>116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 t="str">
            <v/>
          </cell>
          <cell r="M29" t="str">
            <v/>
          </cell>
          <cell r="N29">
            <v>116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 t="str">
            <v/>
          </cell>
          <cell r="M30" t="str">
            <v/>
          </cell>
          <cell r="N30">
            <v>116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 t="str">
            <v/>
          </cell>
          <cell r="M31" t="str">
            <v/>
          </cell>
          <cell r="N31">
            <v>116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 t="str">
            <v/>
          </cell>
          <cell r="M32" t="str">
            <v/>
          </cell>
          <cell r="N32">
            <v>116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 t="str">
            <v/>
          </cell>
          <cell r="D33" t="str">
            <v/>
          </cell>
          <cell r="E33" t="str">
            <v/>
          </cell>
          <cell r="G33" t="str">
            <v/>
          </cell>
          <cell r="H33" t="str">
            <v/>
          </cell>
          <cell r="I33">
            <v>106</v>
          </cell>
          <cell r="J33">
            <v>10</v>
          </cell>
          <cell r="K33" t="str">
            <v/>
          </cell>
          <cell r="M33">
            <v>116</v>
          </cell>
          <cell r="N33">
            <v>116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14" refreshError="1">
        <row r="6">
          <cell r="A6">
            <v>34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S6" t="str">
            <v/>
          </cell>
          <cell r="T6" t="str">
            <v/>
          </cell>
        </row>
        <row r="7">
          <cell r="A7">
            <v>35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S7" t="str">
            <v/>
          </cell>
          <cell r="T7" t="str">
            <v/>
          </cell>
        </row>
        <row r="8">
          <cell r="A8">
            <v>36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S8" t="str">
            <v/>
          </cell>
          <cell r="T8" t="str">
            <v/>
          </cell>
        </row>
        <row r="9">
          <cell r="A9">
            <v>37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S9" t="str">
            <v/>
          </cell>
          <cell r="T9" t="str">
            <v/>
          </cell>
        </row>
        <row r="10">
          <cell r="A10">
            <v>38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S10" t="str">
            <v/>
          </cell>
          <cell r="T10" t="str">
            <v/>
          </cell>
        </row>
        <row r="11">
          <cell r="A11">
            <v>39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S11" t="str">
            <v/>
          </cell>
          <cell r="T11" t="str">
            <v/>
          </cell>
        </row>
        <row r="12">
          <cell r="A12">
            <v>40</v>
          </cell>
          <cell r="G12" t="str">
            <v/>
          </cell>
          <cell r="H12" t="str">
            <v/>
          </cell>
          <cell r="I12">
            <v>1</v>
          </cell>
          <cell r="M12">
            <v>1</v>
          </cell>
          <cell r="N12">
            <v>1</v>
          </cell>
          <cell r="S12" t="str">
            <v/>
          </cell>
          <cell r="T12" t="str">
            <v/>
          </cell>
        </row>
        <row r="13">
          <cell r="A13">
            <v>41</v>
          </cell>
          <cell r="G13" t="str">
            <v/>
          </cell>
          <cell r="H13" t="str">
            <v/>
          </cell>
          <cell r="M13" t="str">
            <v/>
          </cell>
          <cell r="N13">
            <v>1</v>
          </cell>
          <cell r="S13" t="str">
            <v/>
          </cell>
          <cell r="T13" t="str">
            <v/>
          </cell>
        </row>
        <row r="14">
          <cell r="A14">
            <v>42</v>
          </cell>
          <cell r="G14" t="str">
            <v/>
          </cell>
          <cell r="H14" t="str">
            <v/>
          </cell>
          <cell r="M14" t="str">
            <v/>
          </cell>
          <cell r="N14">
            <v>1</v>
          </cell>
          <cell r="S14" t="str">
            <v/>
          </cell>
          <cell r="T14" t="str">
            <v/>
          </cell>
        </row>
        <row r="15">
          <cell r="A15">
            <v>43</v>
          </cell>
          <cell r="G15" t="str">
            <v/>
          </cell>
          <cell r="H15" t="str">
            <v/>
          </cell>
          <cell r="M15" t="str">
            <v/>
          </cell>
          <cell r="N15">
            <v>1</v>
          </cell>
          <cell r="S15" t="str">
            <v/>
          </cell>
          <cell r="T15" t="str">
            <v/>
          </cell>
        </row>
        <row r="16">
          <cell r="A16">
            <v>44</v>
          </cell>
          <cell r="G16" t="str">
            <v/>
          </cell>
          <cell r="H16" t="str">
            <v/>
          </cell>
          <cell r="M16" t="str">
            <v/>
          </cell>
          <cell r="N16">
            <v>1</v>
          </cell>
          <cell r="S16" t="str">
            <v/>
          </cell>
          <cell r="T16" t="str">
            <v/>
          </cell>
        </row>
        <row r="17">
          <cell r="A17">
            <v>45</v>
          </cell>
          <cell r="G17" t="str">
            <v/>
          </cell>
          <cell r="H17" t="str">
            <v/>
          </cell>
          <cell r="M17" t="str">
            <v/>
          </cell>
          <cell r="N17">
            <v>1</v>
          </cell>
          <cell r="S17" t="str">
            <v/>
          </cell>
          <cell r="T17" t="str">
            <v/>
          </cell>
        </row>
        <row r="18">
          <cell r="A18">
            <v>46</v>
          </cell>
          <cell r="G18" t="str">
            <v/>
          </cell>
          <cell r="H18" t="str">
            <v/>
          </cell>
          <cell r="M18" t="str">
            <v/>
          </cell>
          <cell r="N18">
            <v>1</v>
          </cell>
          <cell r="S18" t="str">
            <v/>
          </cell>
          <cell r="T18" t="str">
            <v/>
          </cell>
        </row>
        <row r="19">
          <cell r="A19">
            <v>47</v>
          </cell>
          <cell r="G19" t="str">
            <v/>
          </cell>
          <cell r="H19" t="str">
            <v/>
          </cell>
          <cell r="M19" t="str">
            <v/>
          </cell>
          <cell r="N19">
            <v>1</v>
          </cell>
          <cell r="S19" t="str">
            <v/>
          </cell>
          <cell r="T19" t="str">
            <v/>
          </cell>
        </row>
        <row r="20">
          <cell r="A20">
            <v>48</v>
          </cell>
          <cell r="G20" t="str">
            <v/>
          </cell>
          <cell r="H20" t="str">
            <v/>
          </cell>
          <cell r="M20" t="str">
            <v/>
          </cell>
          <cell r="N20">
            <v>1</v>
          </cell>
          <cell r="S20" t="str">
            <v/>
          </cell>
          <cell r="T20" t="str">
            <v/>
          </cell>
        </row>
        <row r="21">
          <cell r="A21">
            <v>49</v>
          </cell>
          <cell r="G21" t="str">
            <v/>
          </cell>
          <cell r="H21" t="str">
            <v/>
          </cell>
          <cell r="M21" t="str">
            <v/>
          </cell>
          <cell r="N21">
            <v>1</v>
          </cell>
          <cell r="S21" t="str">
            <v/>
          </cell>
          <cell r="T21" t="str">
            <v/>
          </cell>
        </row>
        <row r="22">
          <cell r="A22">
            <v>50</v>
          </cell>
          <cell r="G22" t="str">
            <v/>
          </cell>
          <cell r="H22" t="str">
            <v/>
          </cell>
          <cell r="M22" t="str">
            <v/>
          </cell>
          <cell r="N22">
            <v>1</v>
          </cell>
          <cell r="S22" t="str">
            <v/>
          </cell>
          <cell r="T22" t="str">
            <v/>
          </cell>
        </row>
        <row r="23">
          <cell r="A23">
            <v>51</v>
          </cell>
          <cell r="G23" t="str">
            <v/>
          </cell>
          <cell r="H23" t="str">
            <v/>
          </cell>
          <cell r="M23" t="str">
            <v/>
          </cell>
          <cell r="N23">
            <v>1</v>
          </cell>
          <cell r="S23" t="str">
            <v/>
          </cell>
          <cell r="T23" t="str">
            <v/>
          </cell>
        </row>
        <row r="24">
          <cell r="A24">
            <v>52</v>
          </cell>
          <cell r="G24" t="str">
            <v/>
          </cell>
          <cell r="H24" t="str">
            <v/>
          </cell>
          <cell r="M24" t="str">
            <v/>
          </cell>
          <cell r="N24">
            <v>1</v>
          </cell>
          <cell r="S24" t="str">
            <v/>
          </cell>
          <cell r="T24" t="str">
            <v/>
          </cell>
        </row>
        <row r="25">
          <cell r="A25">
            <v>53</v>
          </cell>
          <cell r="G25" t="str">
            <v/>
          </cell>
          <cell r="H25" t="str">
            <v/>
          </cell>
          <cell r="M25" t="str">
            <v/>
          </cell>
          <cell r="N25">
            <v>1</v>
          </cell>
          <cell r="S25" t="str">
            <v/>
          </cell>
          <cell r="T25" t="str">
            <v/>
          </cell>
        </row>
        <row r="26">
          <cell r="A26">
            <v>1</v>
          </cell>
          <cell r="G26" t="str">
            <v/>
          </cell>
          <cell r="H26" t="str">
            <v/>
          </cell>
          <cell r="M26" t="str">
            <v/>
          </cell>
          <cell r="N26">
            <v>1</v>
          </cell>
          <cell r="S26" t="str">
            <v/>
          </cell>
          <cell r="T26" t="str">
            <v/>
          </cell>
        </row>
        <row r="27">
          <cell r="A27">
            <v>2</v>
          </cell>
          <cell r="G27" t="str">
            <v/>
          </cell>
          <cell r="H27" t="str">
            <v/>
          </cell>
          <cell r="M27" t="str">
            <v/>
          </cell>
          <cell r="N27">
            <v>1</v>
          </cell>
          <cell r="S27" t="str">
            <v/>
          </cell>
          <cell r="T27" t="str">
            <v/>
          </cell>
        </row>
        <row r="28">
          <cell r="A28">
            <v>3</v>
          </cell>
          <cell r="G28" t="str">
            <v/>
          </cell>
          <cell r="H28" t="str">
            <v/>
          </cell>
          <cell r="M28" t="str">
            <v/>
          </cell>
          <cell r="N28">
            <v>1</v>
          </cell>
          <cell r="S28" t="str">
            <v/>
          </cell>
          <cell r="T28" t="str">
            <v/>
          </cell>
        </row>
        <row r="29">
          <cell r="A29">
            <v>4</v>
          </cell>
          <cell r="G29" t="str">
            <v/>
          </cell>
          <cell r="H29" t="str">
            <v/>
          </cell>
          <cell r="M29" t="str">
            <v/>
          </cell>
          <cell r="N29">
            <v>1</v>
          </cell>
          <cell r="S29" t="str">
            <v/>
          </cell>
          <cell r="T29" t="str">
            <v/>
          </cell>
        </row>
        <row r="30">
          <cell r="A30">
            <v>5</v>
          </cell>
          <cell r="G30" t="str">
            <v/>
          </cell>
          <cell r="H30" t="str">
            <v/>
          </cell>
          <cell r="M30" t="str">
            <v/>
          </cell>
          <cell r="N30">
            <v>1</v>
          </cell>
          <cell r="S30" t="str">
            <v/>
          </cell>
          <cell r="T30" t="str">
            <v/>
          </cell>
        </row>
        <row r="31">
          <cell r="A31">
            <v>6</v>
          </cell>
          <cell r="G31" t="str">
            <v/>
          </cell>
          <cell r="H31" t="str">
            <v/>
          </cell>
          <cell r="M31" t="str">
            <v/>
          </cell>
          <cell r="N31">
            <v>1</v>
          </cell>
          <cell r="S31" t="str">
            <v/>
          </cell>
          <cell r="T31" t="str">
            <v/>
          </cell>
        </row>
        <row r="32">
          <cell r="A32">
            <v>7</v>
          </cell>
          <cell r="G32" t="str">
            <v/>
          </cell>
          <cell r="H32" t="str">
            <v/>
          </cell>
          <cell r="M32" t="str">
            <v/>
          </cell>
          <cell r="N32">
            <v>1</v>
          </cell>
          <cell r="S32" t="str">
            <v/>
          </cell>
          <cell r="T32" t="str">
            <v/>
          </cell>
        </row>
        <row r="33">
          <cell r="A33" t="str">
            <v>Summe</v>
          </cell>
          <cell r="C33" t="str">
            <v/>
          </cell>
          <cell r="D33" t="str">
            <v/>
          </cell>
          <cell r="E33" t="str">
            <v/>
          </cell>
          <cell r="G33" t="str">
            <v/>
          </cell>
          <cell r="H33" t="str">
            <v/>
          </cell>
          <cell r="I33">
            <v>1</v>
          </cell>
          <cell r="J33" t="str">
            <v/>
          </cell>
          <cell r="K33" t="str">
            <v/>
          </cell>
          <cell r="M33">
            <v>1</v>
          </cell>
          <cell r="N33">
            <v>1</v>
          </cell>
          <cell r="O33" t="str">
            <v/>
          </cell>
          <cell r="P33" t="str">
            <v/>
          </cell>
          <cell r="Q33" t="str">
            <v/>
          </cell>
          <cell r="S33" t="str">
            <v/>
          </cell>
          <cell r="T33" t="str">
            <v/>
          </cell>
        </row>
      </sheetData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 B3-1"/>
    </sheetNames>
    <sheetDataSet>
      <sheetData sheetId="0" refreshError="1">
        <row r="1"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  <cell r="L1">
            <v>11</v>
          </cell>
          <cell r="M1">
            <v>12</v>
          </cell>
          <cell r="N1">
            <v>13</v>
          </cell>
          <cell r="O1">
            <v>14</v>
          </cell>
          <cell r="P1">
            <v>15</v>
          </cell>
          <cell r="Q1">
            <v>16</v>
          </cell>
          <cell r="R1">
            <v>17</v>
          </cell>
          <cell r="S1">
            <v>18</v>
          </cell>
          <cell r="T1">
            <v>19</v>
          </cell>
          <cell r="U1">
            <v>20</v>
          </cell>
          <cell r="V1">
            <v>21</v>
          </cell>
          <cell r="W1">
            <v>22</v>
          </cell>
          <cell r="X1">
            <v>23</v>
          </cell>
          <cell r="Y1">
            <v>24</v>
          </cell>
          <cell r="Z1">
            <v>25</v>
          </cell>
          <cell r="AA1">
            <v>26</v>
          </cell>
          <cell r="AB1">
            <v>27</v>
          </cell>
          <cell r="AC1">
            <v>28</v>
          </cell>
          <cell r="AD1">
            <v>29</v>
          </cell>
          <cell r="AE1">
            <v>30</v>
          </cell>
          <cell r="AF1">
            <v>31</v>
          </cell>
          <cell r="AG1">
            <v>32</v>
          </cell>
          <cell r="AH1">
            <v>33</v>
          </cell>
          <cell r="AI1">
            <v>34</v>
          </cell>
          <cell r="AJ1">
            <v>35</v>
          </cell>
          <cell r="AK1">
            <v>36</v>
          </cell>
          <cell r="AL1">
            <v>37</v>
          </cell>
          <cell r="AM1">
            <v>38</v>
          </cell>
          <cell r="AN1">
            <v>39</v>
          </cell>
          <cell r="AO1">
            <v>40</v>
          </cell>
        </row>
        <row r="3">
          <cell r="A3" t="str">
            <v xml:space="preserve"> </v>
          </cell>
          <cell r="B3">
            <v>96</v>
          </cell>
          <cell r="C3">
            <v>96</v>
          </cell>
          <cell r="D3">
            <v>96</v>
          </cell>
          <cell r="E3">
            <v>96</v>
          </cell>
          <cell r="F3">
            <v>97</v>
          </cell>
          <cell r="G3">
            <v>97</v>
          </cell>
          <cell r="H3">
            <v>97</v>
          </cell>
          <cell r="I3">
            <v>97</v>
          </cell>
          <cell r="J3">
            <v>98</v>
          </cell>
          <cell r="K3">
            <v>98</v>
          </cell>
          <cell r="L3">
            <v>98</v>
          </cell>
          <cell r="M3">
            <v>98</v>
          </cell>
          <cell r="N3">
            <v>99</v>
          </cell>
          <cell r="O3">
            <v>99</v>
          </cell>
          <cell r="P3">
            <v>99</v>
          </cell>
          <cell r="Q3">
            <v>99</v>
          </cell>
          <cell r="R3" t="str">
            <v>00</v>
          </cell>
          <cell r="S3" t="str">
            <v>00</v>
          </cell>
          <cell r="T3" t="str">
            <v>00</v>
          </cell>
          <cell r="U3" t="str">
            <v>00</v>
          </cell>
          <cell r="V3" t="str">
            <v>01</v>
          </cell>
          <cell r="W3" t="str">
            <v>01</v>
          </cell>
          <cell r="X3" t="str">
            <v>01</v>
          </cell>
          <cell r="Y3" t="str">
            <v>01</v>
          </cell>
          <cell r="Z3" t="str">
            <v>02</v>
          </cell>
          <cell r="AA3" t="str">
            <v>02</v>
          </cell>
          <cell r="AB3" t="str">
            <v>02</v>
          </cell>
          <cell r="AC3" t="str">
            <v>02</v>
          </cell>
          <cell r="AD3" t="str">
            <v>03</v>
          </cell>
          <cell r="AE3" t="str">
            <v>03</v>
          </cell>
          <cell r="AF3" t="str">
            <v>03</v>
          </cell>
          <cell r="AG3" t="str">
            <v>03</v>
          </cell>
          <cell r="AH3" t="str">
            <v>04</v>
          </cell>
          <cell r="AI3" t="str">
            <v>04</v>
          </cell>
          <cell r="AJ3" t="str">
            <v>04</v>
          </cell>
          <cell r="AK3" t="str">
            <v>04</v>
          </cell>
          <cell r="AL3" t="str">
            <v>05</v>
          </cell>
          <cell r="AM3" t="str">
            <v>05</v>
          </cell>
          <cell r="AN3" t="str">
            <v>05</v>
          </cell>
          <cell r="AO3" t="str">
            <v>05</v>
          </cell>
        </row>
        <row r="4">
          <cell r="A4" t="str">
            <v>Quartal</v>
          </cell>
          <cell r="B4">
            <v>1</v>
          </cell>
          <cell r="C4">
            <v>2</v>
          </cell>
          <cell r="D4">
            <v>3</v>
          </cell>
          <cell r="E4">
            <v>4</v>
          </cell>
          <cell r="F4">
            <v>1</v>
          </cell>
          <cell r="G4">
            <v>2</v>
          </cell>
          <cell r="H4">
            <v>3</v>
          </cell>
          <cell r="I4">
            <v>4</v>
          </cell>
          <cell r="J4">
            <v>1</v>
          </cell>
          <cell r="K4">
            <v>2</v>
          </cell>
          <cell r="L4">
            <v>3</v>
          </cell>
          <cell r="M4">
            <v>4</v>
          </cell>
          <cell r="N4">
            <v>1</v>
          </cell>
          <cell r="O4">
            <v>2</v>
          </cell>
          <cell r="P4">
            <v>3</v>
          </cell>
          <cell r="Q4">
            <v>4</v>
          </cell>
          <cell r="R4">
            <v>1</v>
          </cell>
          <cell r="S4">
            <v>2</v>
          </cell>
          <cell r="T4">
            <v>3</v>
          </cell>
          <cell r="U4">
            <v>4</v>
          </cell>
          <cell r="V4">
            <v>1</v>
          </cell>
          <cell r="W4">
            <v>2</v>
          </cell>
          <cell r="X4">
            <v>3</v>
          </cell>
          <cell r="Y4">
            <v>4</v>
          </cell>
          <cell r="Z4">
            <v>1</v>
          </cell>
          <cell r="AA4">
            <v>2</v>
          </cell>
          <cell r="AB4">
            <v>3</v>
          </cell>
          <cell r="AC4">
            <v>4</v>
          </cell>
          <cell r="AD4">
            <v>1</v>
          </cell>
          <cell r="AE4">
            <v>2</v>
          </cell>
          <cell r="AF4">
            <v>3</v>
          </cell>
          <cell r="AG4">
            <v>4</v>
          </cell>
          <cell r="AH4">
            <v>1</v>
          </cell>
          <cell r="AI4">
            <v>2</v>
          </cell>
          <cell r="AJ4">
            <v>3</v>
          </cell>
          <cell r="AK4">
            <v>4</v>
          </cell>
          <cell r="AL4">
            <v>1</v>
          </cell>
          <cell r="AM4">
            <v>2</v>
          </cell>
          <cell r="AN4">
            <v>3</v>
          </cell>
          <cell r="AO4">
            <v>4</v>
          </cell>
        </row>
        <row r="5">
          <cell r="A5" t="str">
            <v xml:space="preserve"> </v>
          </cell>
          <cell r="B5" t="str">
            <v xml:space="preserve"> </v>
          </cell>
          <cell r="C5" t="str">
            <v xml:space="preserve"> </v>
          </cell>
          <cell r="D5" t="str">
            <v xml:space="preserve"> </v>
          </cell>
          <cell r="E5" t="str">
            <v xml:space="preserve"> </v>
          </cell>
          <cell r="F5" t="str">
            <v xml:space="preserve"> </v>
          </cell>
          <cell r="G5" t="str">
            <v xml:space="preserve"> </v>
          </cell>
          <cell r="H5" t="str">
            <v xml:space="preserve"> </v>
          </cell>
          <cell r="I5" t="str">
            <v xml:space="preserve"> </v>
          </cell>
          <cell r="J5" t="str">
            <v xml:space="preserve"> </v>
          </cell>
          <cell r="K5" t="str">
            <v xml:space="preserve"> </v>
          </cell>
          <cell r="L5" t="str">
            <v xml:space="preserve"> </v>
          </cell>
          <cell r="M5" t="str">
            <v xml:space="preserve"> </v>
          </cell>
          <cell r="N5" t="str">
            <v xml:space="preserve"> </v>
          </cell>
          <cell r="O5" t="str">
            <v xml:space="preserve"> </v>
          </cell>
          <cell r="P5" t="str">
            <v xml:space="preserve"> </v>
          </cell>
          <cell r="Q5" t="str">
            <v xml:space="preserve"> </v>
          </cell>
          <cell r="R5" t="str">
            <v xml:space="preserve"> </v>
          </cell>
          <cell r="S5" t="str">
            <v xml:space="preserve"> </v>
          </cell>
          <cell r="T5" t="str">
            <v xml:space="preserve"> </v>
          </cell>
          <cell r="U5" t="str">
            <v xml:space="preserve"> </v>
          </cell>
          <cell r="V5" t="str">
            <v xml:space="preserve"> </v>
          </cell>
          <cell r="W5" t="str">
            <v xml:space="preserve"> </v>
          </cell>
          <cell r="X5" t="str">
            <v xml:space="preserve"> </v>
          </cell>
          <cell r="Y5" t="str">
            <v xml:space="preserve"> </v>
          </cell>
          <cell r="Z5" t="str">
            <v xml:space="preserve"> </v>
          </cell>
          <cell r="AA5" t="str">
            <v xml:space="preserve"> </v>
          </cell>
          <cell r="AB5" t="str">
            <v xml:space="preserve"> </v>
          </cell>
          <cell r="AC5" t="str">
            <v xml:space="preserve"> </v>
          </cell>
          <cell r="AD5" t="str">
            <v xml:space="preserve"> </v>
          </cell>
          <cell r="AE5" t="str">
            <v xml:space="preserve"> </v>
          </cell>
          <cell r="AF5" t="str">
            <v xml:space="preserve"> </v>
          </cell>
          <cell r="AG5" t="str">
            <v xml:space="preserve"> </v>
          </cell>
          <cell r="AH5" t="str">
            <v xml:space="preserve"> </v>
          </cell>
          <cell r="AI5" t="str">
            <v xml:space="preserve"> </v>
          </cell>
          <cell r="AJ5" t="str">
            <v xml:space="preserve"> </v>
          </cell>
          <cell r="AK5" t="str">
            <v xml:space="preserve"> </v>
          </cell>
          <cell r="AL5" t="str">
            <v xml:space="preserve"> </v>
          </cell>
          <cell r="AM5" t="str">
            <v xml:space="preserve"> </v>
          </cell>
          <cell r="AN5" t="str">
            <v xml:space="preserve"> </v>
          </cell>
          <cell r="AO5" t="str">
            <v xml:space="preserve"> </v>
          </cell>
        </row>
        <row r="6">
          <cell r="A6" t="str">
            <v>16M</v>
          </cell>
          <cell r="B6" t="str">
            <v xml:space="preserve"> </v>
          </cell>
          <cell r="C6">
            <v>500</v>
          </cell>
          <cell r="D6">
            <v>800</v>
          </cell>
          <cell r="E6">
            <v>1650</v>
          </cell>
          <cell r="F6">
            <v>3500</v>
          </cell>
          <cell r="G6">
            <v>5100</v>
          </cell>
          <cell r="H6">
            <v>6300</v>
          </cell>
          <cell r="I6">
            <v>7000</v>
          </cell>
          <cell r="J6">
            <v>7000</v>
          </cell>
          <cell r="K6">
            <v>7000</v>
          </cell>
          <cell r="L6">
            <v>6580</v>
          </cell>
          <cell r="M6">
            <v>6330</v>
          </cell>
          <cell r="N6">
            <v>6050</v>
          </cell>
          <cell r="O6">
            <v>5550</v>
          </cell>
          <cell r="P6">
            <v>5050</v>
          </cell>
          <cell r="Q6">
            <v>4550</v>
          </cell>
          <cell r="R6">
            <v>3940</v>
          </cell>
          <cell r="S6">
            <v>3250</v>
          </cell>
          <cell r="T6">
            <v>3000</v>
          </cell>
          <cell r="U6">
            <v>3000</v>
          </cell>
          <cell r="V6">
            <v>3000</v>
          </cell>
          <cell r="W6">
            <v>3000</v>
          </cell>
          <cell r="X6">
            <v>3000</v>
          </cell>
          <cell r="Y6">
            <v>3000</v>
          </cell>
          <cell r="Z6">
            <v>3000</v>
          </cell>
          <cell r="AA6">
            <v>3000</v>
          </cell>
          <cell r="AB6">
            <v>3000</v>
          </cell>
          <cell r="AC6">
            <v>3000</v>
          </cell>
          <cell r="AD6">
            <v>3000</v>
          </cell>
          <cell r="AE6">
            <v>3000</v>
          </cell>
          <cell r="AF6">
            <v>3000</v>
          </cell>
          <cell r="AG6">
            <v>3000</v>
          </cell>
          <cell r="AH6">
            <v>3000</v>
          </cell>
          <cell r="AI6">
            <v>3000</v>
          </cell>
          <cell r="AJ6">
            <v>3000</v>
          </cell>
          <cell r="AK6">
            <v>3000</v>
          </cell>
          <cell r="AL6">
            <v>3000</v>
          </cell>
          <cell r="AM6">
            <v>3000</v>
          </cell>
          <cell r="AN6">
            <v>3000</v>
          </cell>
          <cell r="AO6">
            <v>3000</v>
          </cell>
        </row>
        <row r="7">
          <cell r="A7" t="str">
            <v>64M</v>
          </cell>
          <cell r="B7" t="str">
            <v xml:space="preserve"> </v>
          </cell>
          <cell r="C7" t="str">
            <v xml:space="preserve"> </v>
          </cell>
          <cell r="D7" t="str">
            <v xml:space="preserve"> </v>
          </cell>
          <cell r="E7" t="str">
            <v xml:space="preserve"> </v>
          </cell>
          <cell r="F7" t="str">
            <v xml:space="preserve"> </v>
          </cell>
          <cell r="G7" t="str">
            <v xml:space="preserve"> </v>
          </cell>
          <cell r="H7" t="str">
            <v xml:space="preserve"> 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>
            <v>350</v>
          </cell>
          <cell r="M7">
            <v>560</v>
          </cell>
          <cell r="N7">
            <v>790</v>
          </cell>
          <cell r="O7">
            <v>1210</v>
          </cell>
          <cell r="P7">
            <v>1630</v>
          </cell>
          <cell r="Q7">
            <v>2050</v>
          </cell>
          <cell r="R7">
            <v>2550</v>
          </cell>
          <cell r="S7">
            <v>3050</v>
          </cell>
          <cell r="T7">
            <v>3300</v>
          </cell>
          <cell r="U7">
            <v>3300</v>
          </cell>
          <cell r="V7">
            <v>3300</v>
          </cell>
          <cell r="W7">
            <v>3300</v>
          </cell>
          <cell r="X7">
            <v>3300</v>
          </cell>
          <cell r="Y7">
            <v>3300</v>
          </cell>
          <cell r="Z7">
            <v>3300</v>
          </cell>
          <cell r="AA7">
            <v>3300</v>
          </cell>
          <cell r="AB7">
            <v>3300</v>
          </cell>
          <cell r="AC7">
            <v>3300</v>
          </cell>
          <cell r="AD7">
            <v>3300</v>
          </cell>
          <cell r="AE7">
            <v>3300</v>
          </cell>
          <cell r="AF7">
            <v>3300</v>
          </cell>
          <cell r="AG7">
            <v>3300</v>
          </cell>
          <cell r="AH7">
            <v>3300</v>
          </cell>
          <cell r="AI7">
            <v>3300</v>
          </cell>
          <cell r="AJ7">
            <v>3300</v>
          </cell>
          <cell r="AK7">
            <v>3300</v>
          </cell>
          <cell r="AL7">
            <v>3300</v>
          </cell>
          <cell r="AM7">
            <v>3300</v>
          </cell>
          <cell r="AN7">
            <v>3300</v>
          </cell>
          <cell r="AO7">
            <v>3300</v>
          </cell>
        </row>
        <row r="8">
          <cell r="A8" t="str">
            <v xml:space="preserve"> </v>
          </cell>
          <cell r="B8" t="str">
            <v xml:space="preserve"> </v>
          </cell>
          <cell r="C8" t="str">
            <v xml:space="preserve"> </v>
          </cell>
          <cell r="D8" t="str">
            <v xml:space="preserve"> </v>
          </cell>
          <cell r="E8" t="str">
            <v xml:space="preserve"> </v>
          </cell>
          <cell r="F8" t="str">
            <v xml:space="preserve"> </v>
          </cell>
          <cell r="G8" t="str">
            <v xml:space="preserve"> </v>
          </cell>
          <cell r="H8" t="str">
            <v xml:space="preserve"> 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 t="str">
            <v xml:space="preserve"> </v>
          </cell>
          <cell r="N8" t="str">
            <v xml:space="preserve"> </v>
          </cell>
          <cell r="O8" t="str">
            <v xml:space="preserve"> </v>
          </cell>
          <cell r="P8" t="str">
            <v xml:space="preserve"> </v>
          </cell>
          <cell r="Q8" t="str">
            <v xml:space="preserve"> </v>
          </cell>
          <cell r="R8" t="str">
            <v xml:space="preserve"> </v>
          </cell>
          <cell r="S8" t="str">
            <v xml:space="preserve"> </v>
          </cell>
          <cell r="T8" t="str">
            <v xml:space="preserve"> </v>
          </cell>
          <cell r="U8" t="str">
            <v xml:space="preserve"> </v>
          </cell>
          <cell r="V8" t="str">
            <v xml:space="preserve"> </v>
          </cell>
          <cell r="W8" t="str">
            <v xml:space="preserve"> </v>
          </cell>
          <cell r="X8" t="str">
            <v xml:space="preserve"> </v>
          </cell>
          <cell r="Y8" t="str">
            <v xml:space="preserve"> </v>
          </cell>
          <cell r="Z8" t="str">
            <v xml:space="preserve"> </v>
          </cell>
          <cell r="AA8" t="str">
            <v xml:space="preserve"> </v>
          </cell>
          <cell r="AB8" t="str">
            <v xml:space="preserve"> </v>
          </cell>
          <cell r="AC8" t="str">
            <v xml:space="preserve"> </v>
          </cell>
          <cell r="AD8" t="str">
            <v xml:space="preserve"> </v>
          </cell>
          <cell r="AE8" t="str">
            <v xml:space="preserve"> </v>
          </cell>
          <cell r="AF8" t="str">
            <v xml:space="preserve"> </v>
          </cell>
          <cell r="AG8" t="str">
            <v xml:space="preserve"> </v>
          </cell>
          <cell r="AH8" t="str">
            <v xml:space="preserve"> </v>
          </cell>
          <cell r="AI8" t="str">
            <v xml:space="preserve"> </v>
          </cell>
          <cell r="AJ8" t="str">
            <v xml:space="preserve"> </v>
          </cell>
          <cell r="AK8" t="str">
            <v xml:space="preserve"> </v>
          </cell>
          <cell r="AL8" t="str">
            <v xml:space="preserve"> </v>
          </cell>
          <cell r="AM8" t="str">
            <v xml:space="preserve"> </v>
          </cell>
          <cell r="AN8" t="str">
            <v xml:space="preserve"> </v>
          </cell>
          <cell r="AO8" t="str">
            <v xml:space="preserve"> </v>
          </cell>
        </row>
        <row r="9">
          <cell r="A9" t="str">
            <v>FV Wafer</v>
          </cell>
          <cell r="B9">
            <v>800</v>
          </cell>
          <cell r="C9">
            <v>100</v>
          </cell>
          <cell r="D9">
            <v>100</v>
          </cell>
          <cell r="E9">
            <v>100</v>
          </cell>
          <cell r="F9">
            <v>100</v>
          </cell>
          <cell r="G9">
            <v>200</v>
          </cell>
          <cell r="H9">
            <v>500</v>
          </cell>
          <cell r="I9">
            <v>500</v>
          </cell>
          <cell r="J9">
            <v>500</v>
          </cell>
          <cell r="K9">
            <v>500</v>
          </cell>
          <cell r="L9">
            <v>500</v>
          </cell>
          <cell r="M9">
            <v>500</v>
          </cell>
          <cell r="N9">
            <v>500</v>
          </cell>
          <cell r="O9">
            <v>500</v>
          </cell>
          <cell r="P9">
            <v>500</v>
          </cell>
          <cell r="Q9">
            <v>500</v>
          </cell>
          <cell r="R9">
            <v>500</v>
          </cell>
          <cell r="S9">
            <v>500</v>
          </cell>
          <cell r="T9">
            <v>500</v>
          </cell>
          <cell r="U9">
            <v>500</v>
          </cell>
          <cell r="V9">
            <v>500</v>
          </cell>
          <cell r="W9">
            <v>500</v>
          </cell>
          <cell r="X9">
            <v>500</v>
          </cell>
          <cell r="Y9">
            <v>500</v>
          </cell>
          <cell r="Z9">
            <v>500</v>
          </cell>
          <cell r="AA9">
            <v>500</v>
          </cell>
          <cell r="AB9">
            <v>500</v>
          </cell>
          <cell r="AC9">
            <v>500</v>
          </cell>
          <cell r="AD9">
            <v>500</v>
          </cell>
          <cell r="AE9">
            <v>500</v>
          </cell>
          <cell r="AF9">
            <v>500</v>
          </cell>
          <cell r="AG9">
            <v>500</v>
          </cell>
          <cell r="AH9">
            <v>500</v>
          </cell>
          <cell r="AI9">
            <v>500</v>
          </cell>
          <cell r="AJ9">
            <v>500</v>
          </cell>
          <cell r="AK9">
            <v>500</v>
          </cell>
          <cell r="AL9">
            <v>500</v>
          </cell>
          <cell r="AM9">
            <v>500</v>
          </cell>
          <cell r="AN9">
            <v>500</v>
          </cell>
          <cell r="AO9">
            <v>500</v>
          </cell>
        </row>
        <row r="10">
          <cell r="A10">
            <v>1995</v>
          </cell>
          <cell r="B10" t="str">
            <v xml:space="preserve"> </v>
          </cell>
          <cell r="C10">
            <v>120</v>
          </cell>
          <cell r="D10">
            <v>270</v>
          </cell>
          <cell r="E10">
            <v>650</v>
          </cell>
          <cell r="F10" t="str">
            <v xml:space="preserve"> </v>
          </cell>
          <cell r="G10" t="str">
            <v xml:space="preserve"> </v>
          </cell>
          <cell r="H10" t="str">
            <v xml:space="preserve"> </v>
          </cell>
          <cell r="I10" t="str">
            <v xml:space="preserve"> </v>
          </cell>
          <cell r="J10" t="str">
            <v xml:space="preserve"> </v>
          </cell>
          <cell r="K10" t="str">
            <v xml:space="preserve"> </v>
          </cell>
          <cell r="L10" t="str">
            <v xml:space="preserve"> </v>
          </cell>
          <cell r="M10" t="str">
            <v xml:space="preserve"> </v>
          </cell>
          <cell r="N10" t="str">
            <v xml:space="preserve"> </v>
          </cell>
          <cell r="O10" t="str">
            <v xml:space="preserve"> </v>
          </cell>
          <cell r="P10" t="str">
            <v xml:space="preserve"> </v>
          </cell>
          <cell r="Q10" t="str">
            <v xml:space="preserve"> </v>
          </cell>
          <cell r="R10" t="str">
            <v xml:space="preserve"> 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 t="str">
            <v xml:space="preserve"> </v>
          </cell>
          <cell r="Z10" t="str">
            <v xml:space="preserve"> </v>
          </cell>
          <cell r="AA10" t="str">
            <v xml:space="preserve"> </v>
          </cell>
          <cell r="AB10" t="str">
            <v xml:space="preserve"> </v>
          </cell>
          <cell r="AC10" t="str">
            <v xml:space="preserve"> </v>
          </cell>
          <cell r="AD10" t="str">
            <v xml:space="preserve"> </v>
          </cell>
          <cell r="AE10" t="str">
            <v xml:space="preserve"> </v>
          </cell>
          <cell r="AF10" t="str">
            <v xml:space="preserve"> </v>
          </cell>
          <cell r="AG10" t="str">
            <v xml:space="preserve"> </v>
          </cell>
          <cell r="AH10" t="str">
            <v xml:space="preserve"> </v>
          </cell>
          <cell r="AI10" t="str">
            <v xml:space="preserve"> </v>
          </cell>
          <cell r="AJ10" t="str">
            <v xml:space="preserve"> </v>
          </cell>
          <cell r="AK10" t="str">
            <v xml:space="preserve"> </v>
          </cell>
          <cell r="AL10" t="str">
            <v xml:space="preserve"> </v>
          </cell>
          <cell r="AM10" t="str">
            <v xml:space="preserve"> </v>
          </cell>
          <cell r="AN10" t="str">
            <v xml:space="preserve"> </v>
          </cell>
          <cell r="AO10" t="str">
            <v xml:space="preserve"> </v>
          </cell>
        </row>
        <row r="11">
          <cell r="A11" t="str">
            <v xml:space="preserve"> </v>
          </cell>
          <cell r="B11" t="str">
            <v xml:space="preserve"> </v>
          </cell>
          <cell r="C11" t="str">
            <v xml:space="preserve"> </v>
          </cell>
          <cell r="D11" t="str">
            <v xml:space="preserve"> </v>
          </cell>
          <cell r="E11" t="str">
            <v xml:space="preserve"> </v>
          </cell>
          <cell r="F11" t="str">
            <v xml:space="preserve"> </v>
          </cell>
          <cell r="G11" t="str">
            <v xml:space="preserve"> </v>
          </cell>
          <cell r="H11" t="str">
            <v xml:space="preserve"> </v>
          </cell>
          <cell r="I11" t="str">
            <v xml:space="preserve"> </v>
          </cell>
          <cell r="J11" t="str">
            <v xml:space="preserve"> </v>
          </cell>
          <cell r="K11" t="str">
            <v xml:space="preserve"> </v>
          </cell>
          <cell r="L11" t="str">
            <v xml:space="preserve"> </v>
          </cell>
          <cell r="M11" t="str">
            <v xml:space="preserve"> </v>
          </cell>
          <cell r="N11" t="str">
            <v xml:space="preserve"> </v>
          </cell>
          <cell r="O11" t="str">
            <v xml:space="preserve"> </v>
          </cell>
          <cell r="P11" t="str">
            <v xml:space="preserve"> </v>
          </cell>
          <cell r="Q11" t="str">
            <v xml:space="preserve"> </v>
          </cell>
          <cell r="R11" t="str">
            <v xml:space="preserve"> </v>
          </cell>
          <cell r="S11" t="str">
            <v xml:space="preserve"> </v>
          </cell>
          <cell r="T11" t="str">
            <v xml:space="preserve"> </v>
          </cell>
          <cell r="U11" t="str">
            <v xml:space="preserve"> </v>
          </cell>
          <cell r="V11" t="str">
            <v xml:space="preserve"> </v>
          </cell>
          <cell r="W11" t="str">
            <v xml:space="preserve"> </v>
          </cell>
          <cell r="X11" t="str">
            <v xml:space="preserve"> </v>
          </cell>
          <cell r="Y11" t="str">
            <v xml:space="preserve"> </v>
          </cell>
          <cell r="Z11" t="str">
            <v xml:space="preserve"> </v>
          </cell>
          <cell r="AA11" t="str">
            <v xml:space="preserve"> </v>
          </cell>
          <cell r="AB11" t="str">
            <v xml:space="preserve"> </v>
          </cell>
          <cell r="AC11" t="str">
            <v xml:space="preserve"> </v>
          </cell>
          <cell r="AD11" t="str">
            <v xml:space="preserve"> </v>
          </cell>
          <cell r="AE11" t="str">
            <v xml:space="preserve"> </v>
          </cell>
          <cell r="AF11" t="str">
            <v xml:space="preserve"> </v>
          </cell>
          <cell r="AG11" t="str">
            <v xml:space="preserve"> </v>
          </cell>
          <cell r="AH11" t="str">
            <v xml:space="preserve"> </v>
          </cell>
          <cell r="AI11" t="str">
            <v xml:space="preserve"> </v>
          </cell>
          <cell r="AJ11" t="str">
            <v xml:space="preserve"> </v>
          </cell>
          <cell r="AK11" t="str">
            <v xml:space="preserve"> </v>
          </cell>
          <cell r="AL11" t="str">
            <v xml:space="preserve"> </v>
          </cell>
          <cell r="AM11" t="str">
            <v xml:space="preserve"> </v>
          </cell>
          <cell r="AN11" t="str">
            <v xml:space="preserve"> </v>
          </cell>
          <cell r="AO11" t="str">
            <v xml:space="preserve"> </v>
          </cell>
        </row>
        <row r="12">
          <cell r="A12" t="str">
            <v>Summe Gesamt</v>
          </cell>
          <cell r="B12">
            <v>800</v>
          </cell>
          <cell r="C12">
            <v>600</v>
          </cell>
          <cell r="D12">
            <v>900</v>
          </cell>
          <cell r="E12">
            <v>1750</v>
          </cell>
          <cell r="F12">
            <v>3600</v>
          </cell>
          <cell r="G12">
            <v>5300</v>
          </cell>
          <cell r="H12">
            <v>6800</v>
          </cell>
          <cell r="I12">
            <v>7500</v>
          </cell>
          <cell r="J12">
            <v>7500</v>
          </cell>
          <cell r="K12">
            <v>7500</v>
          </cell>
          <cell r="L12">
            <v>7430</v>
          </cell>
          <cell r="M12">
            <v>7390</v>
          </cell>
          <cell r="N12">
            <v>7340</v>
          </cell>
          <cell r="O12">
            <v>7260</v>
          </cell>
          <cell r="P12">
            <v>7180</v>
          </cell>
          <cell r="Q12">
            <v>7100</v>
          </cell>
          <cell r="R12">
            <v>6990</v>
          </cell>
          <cell r="S12">
            <v>6800</v>
          </cell>
          <cell r="T12">
            <v>6800</v>
          </cell>
          <cell r="U12">
            <v>6800</v>
          </cell>
          <cell r="V12">
            <v>6800</v>
          </cell>
          <cell r="W12">
            <v>6800</v>
          </cell>
          <cell r="X12">
            <v>6800</v>
          </cell>
          <cell r="Y12">
            <v>6800</v>
          </cell>
          <cell r="Z12">
            <v>6800</v>
          </cell>
          <cell r="AA12">
            <v>6800</v>
          </cell>
          <cell r="AB12">
            <v>6800</v>
          </cell>
          <cell r="AC12">
            <v>6800</v>
          </cell>
          <cell r="AD12">
            <v>6800</v>
          </cell>
          <cell r="AE12">
            <v>6800</v>
          </cell>
          <cell r="AF12">
            <v>6800</v>
          </cell>
          <cell r="AG12">
            <v>6800</v>
          </cell>
          <cell r="AH12">
            <v>6800</v>
          </cell>
          <cell r="AI12">
            <v>6800</v>
          </cell>
          <cell r="AJ12">
            <v>6800</v>
          </cell>
          <cell r="AK12">
            <v>6800</v>
          </cell>
          <cell r="AL12">
            <v>6800</v>
          </cell>
          <cell r="AM12">
            <v>6800</v>
          </cell>
          <cell r="AN12">
            <v>6800</v>
          </cell>
          <cell r="AO12">
            <v>6800</v>
          </cell>
        </row>
        <row r="13">
          <cell r="A13" t="str">
            <v xml:space="preserve"> </v>
          </cell>
          <cell r="B13" t="str">
            <v xml:space="preserve"> </v>
          </cell>
          <cell r="C13" t="str">
            <v xml:space="preserve"> </v>
          </cell>
          <cell r="D13" t="str">
            <v xml:space="preserve"> </v>
          </cell>
          <cell r="E13" t="str">
            <v xml:space="preserve"> </v>
          </cell>
          <cell r="F13" t="str">
            <v xml:space="preserve"> </v>
          </cell>
          <cell r="G13" t="str">
            <v xml:space="preserve"> </v>
          </cell>
          <cell r="H13" t="str">
            <v xml:space="preserve"> </v>
          </cell>
          <cell r="I13" t="str">
            <v xml:space="preserve"> </v>
          </cell>
          <cell r="J13" t="str">
            <v xml:space="preserve"> </v>
          </cell>
          <cell r="K13" t="str">
            <v xml:space="preserve"> </v>
          </cell>
          <cell r="L13" t="str">
            <v xml:space="preserve"> </v>
          </cell>
          <cell r="M13" t="str">
            <v xml:space="preserve"> </v>
          </cell>
          <cell r="N13" t="str">
            <v xml:space="preserve"> </v>
          </cell>
          <cell r="O13" t="str">
            <v xml:space="preserve"> </v>
          </cell>
          <cell r="P13" t="str">
            <v xml:space="preserve"> </v>
          </cell>
          <cell r="Q13" t="str">
            <v xml:space="preserve"> </v>
          </cell>
          <cell r="R13" t="str">
            <v xml:space="preserve"> </v>
          </cell>
          <cell r="S13" t="str">
            <v xml:space="preserve"> </v>
          </cell>
          <cell r="T13" t="str">
            <v xml:space="preserve"> </v>
          </cell>
          <cell r="U13" t="str">
            <v xml:space="preserve"> </v>
          </cell>
          <cell r="V13" t="str">
            <v xml:space="preserve"> </v>
          </cell>
          <cell r="W13" t="str">
            <v xml:space="preserve"> </v>
          </cell>
          <cell r="X13" t="str">
            <v xml:space="preserve"> </v>
          </cell>
          <cell r="Y13" t="str">
            <v xml:space="preserve"> </v>
          </cell>
          <cell r="Z13" t="str">
            <v xml:space="preserve"> </v>
          </cell>
          <cell r="AA13" t="str">
            <v xml:space="preserve"> </v>
          </cell>
          <cell r="AB13" t="str">
            <v xml:space="preserve"> </v>
          </cell>
          <cell r="AC13" t="str">
            <v xml:space="preserve"> </v>
          </cell>
          <cell r="AD13" t="str">
            <v xml:space="preserve"> </v>
          </cell>
          <cell r="AE13" t="str">
            <v xml:space="preserve"> </v>
          </cell>
          <cell r="AF13" t="str">
            <v xml:space="preserve"> </v>
          </cell>
          <cell r="AG13" t="str">
            <v xml:space="preserve"> </v>
          </cell>
          <cell r="AH13" t="str">
            <v xml:space="preserve"> </v>
          </cell>
          <cell r="AI13" t="str">
            <v xml:space="preserve"> </v>
          </cell>
          <cell r="AJ13" t="str">
            <v xml:space="preserve"> </v>
          </cell>
          <cell r="AK13" t="str">
            <v xml:space="preserve"> </v>
          </cell>
          <cell r="AL13" t="str">
            <v xml:space="preserve"> </v>
          </cell>
          <cell r="AM13" t="str">
            <v xml:space="preserve"> </v>
          </cell>
          <cell r="AN13" t="str">
            <v xml:space="preserve"> </v>
          </cell>
          <cell r="AO13" t="str">
            <v xml:space="preserve"> </v>
          </cell>
        </row>
        <row r="14">
          <cell r="A14" t="str">
            <v>DLZ [ Tage ]</v>
          </cell>
          <cell r="B14" t="str">
            <v xml:space="preserve"> </v>
          </cell>
          <cell r="C14" t="str">
            <v xml:space="preserve"> </v>
          </cell>
          <cell r="D14" t="str">
            <v xml:space="preserve"> </v>
          </cell>
          <cell r="E14" t="str">
            <v xml:space="preserve"> </v>
          </cell>
          <cell r="F14" t="str">
            <v xml:space="preserve"> </v>
          </cell>
          <cell r="G14" t="str">
            <v xml:space="preserve"> </v>
          </cell>
          <cell r="H14" t="str">
            <v xml:space="preserve"> </v>
          </cell>
          <cell r="I14" t="str">
            <v xml:space="preserve"> </v>
          </cell>
          <cell r="J14" t="str">
            <v xml:space="preserve"> </v>
          </cell>
          <cell r="K14" t="str">
            <v xml:space="preserve"> </v>
          </cell>
          <cell r="L14" t="str">
            <v xml:space="preserve"> </v>
          </cell>
          <cell r="M14" t="str">
            <v xml:space="preserve"> </v>
          </cell>
          <cell r="N14" t="str">
            <v xml:space="preserve"> </v>
          </cell>
          <cell r="O14" t="str">
            <v xml:space="preserve"> </v>
          </cell>
          <cell r="P14" t="str">
            <v xml:space="preserve"> </v>
          </cell>
          <cell r="Q14" t="str">
            <v xml:space="preserve"> </v>
          </cell>
          <cell r="R14" t="str">
            <v xml:space="preserve"> </v>
          </cell>
          <cell r="S14" t="str">
            <v xml:space="preserve"> </v>
          </cell>
          <cell r="T14" t="str">
            <v xml:space="preserve"> </v>
          </cell>
          <cell r="U14" t="str">
            <v xml:space="preserve"> </v>
          </cell>
          <cell r="V14" t="str">
            <v xml:space="preserve"> </v>
          </cell>
          <cell r="W14" t="str">
            <v xml:space="preserve"> </v>
          </cell>
          <cell r="X14" t="str">
            <v xml:space="preserve"> </v>
          </cell>
          <cell r="Y14" t="str">
            <v xml:space="preserve"> </v>
          </cell>
          <cell r="Z14" t="str">
            <v xml:space="preserve"> </v>
          </cell>
          <cell r="AA14" t="str">
            <v xml:space="preserve"> </v>
          </cell>
          <cell r="AB14" t="str">
            <v xml:space="preserve"> </v>
          </cell>
          <cell r="AC14" t="str">
            <v xml:space="preserve"> </v>
          </cell>
          <cell r="AD14" t="str">
            <v xml:space="preserve"> </v>
          </cell>
          <cell r="AE14" t="str">
            <v xml:space="preserve"> </v>
          </cell>
          <cell r="AF14" t="str">
            <v xml:space="preserve"> </v>
          </cell>
          <cell r="AG14" t="str">
            <v xml:space="preserve"> </v>
          </cell>
          <cell r="AH14" t="str">
            <v xml:space="preserve"> </v>
          </cell>
          <cell r="AI14" t="str">
            <v xml:space="preserve"> </v>
          </cell>
          <cell r="AJ14" t="str">
            <v xml:space="preserve"> </v>
          </cell>
          <cell r="AK14" t="str">
            <v xml:space="preserve"> </v>
          </cell>
          <cell r="AL14" t="str">
            <v xml:space="preserve"> </v>
          </cell>
          <cell r="AM14" t="str">
            <v xml:space="preserve"> </v>
          </cell>
          <cell r="AN14" t="str">
            <v xml:space="preserve"> </v>
          </cell>
          <cell r="AO14" t="str">
            <v xml:space="preserve"> </v>
          </cell>
        </row>
        <row r="15">
          <cell r="A15" t="str">
            <v>16M SF</v>
          </cell>
          <cell r="B15" t="str">
            <v xml:space="preserve"> </v>
          </cell>
          <cell r="C15">
            <v>67</v>
          </cell>
          <cell r="D15">
            <v>67</v>
          </cell>
          <cell r="E15">
            <v>67</v>
          </cell>
          <cell r="F15">
            <v>67</v>
          </cell>
          <cell r="G15">
            <v>67</v>
          </cell>
          <cell r="H15">
            <v>67</v>
          </cell>
          <cell r="I15">
            <v>58</v>
          </cell>
          <cell r="J15">
            <v>58</v>
          </cell>
          <cell r="K15">
            <v>58</v>
          </cell>
          <cell r="L15">
            <v>58</v>
          </cell>
          <cell r="M15">
            <v>57</v>
          </cell>
          <cell r="N15">
            <v>57</v>
          </cell>
          <cell r="O15">
            <v>57</v>
          </cell>
          <cell r="P15">
            <v>57</v>
          </cell>
          <cell r="Q15">
            <v>56</v>
          </cell>
          <cell r="R15">
            <v>56</v>
          </cell>
          <cell r="S15">
            <v>56</v>
          </cell>
          <cell r="T15">
            <v>56</v>
          </cell>
          <cell r="U15">
            <v>56</v>
          </cell>
          <cell r="V15">
            <v>56</v>
          </cell>
          <cell r="W15">
            <v>56</v>
          </cell>
          <cell r="X15">
            <v>56</v>
          </cell>
          <cell r="Y15">
            <v>56</v>
          </cell>
          <cell r="Z15">
            <v>56</v>
          </cell>
          <cell r="AA15">
            <v>56</v>
          </cell>
          <cell r="AB15">
            <v>56</v>
          </cell>
          <cell r="AC15">
            <v>56</v>
          </cell>
          <cell r="AD15">
            <v>56</v>
          </cell>
          <cell r="AE15">
            <v>56</v>
          </cell>
          <cell r="AF15">
            <v>56</v>
          </cell>
          <cell r="AG15">
            <v>56</v>
          </cell>
          <cell r="AH15">
            <v>56</v>
          </cell>
          <cell r="AI15">
            <v>56</v>
          </cell>
          <cell r="AJ15">
            <v>56</v>
          </cell>
          <cell r="AK15">
            <v>56</v>
          </cell>
          <cell r="AL15">
            <v>56</v>
          </cell>
          <cell r="AM15">
            <v>56</v>
          </cell>
          <cell r="AN15">
            <v>56</v>
          </cell>
          <cell r="AO15">
            <v>56</v>
          </cell>
        </row>
        <row r="16">
          <cell r="A16" t="str">
            <v>64M SF</v>
          </cell>
          <cell r="B16" t="str">
            <v xml:space="preserve"> </v>
          </cell>
          <cell r="C16" t="str">
            <v xml:space="preserve"> </v>
          </cell>
          <cell r="D16">
            <v>130</v>
          </cell>
          <cell r="E16">
            <v>130</v>
          </cell>
          <cell r="F16">
            <v>130</v>
          </cell>
          <cell r="G16">
            <v>130</v>
          </cell>
          <cell r="H16">
            <v>130</v>
          </cell>
          <cell r="I16">
            <v>130</v>
          </cell>
          <cell r="J16">
            <v>130</v>
          </cell>
          <cell r="K16">
            <v>130</v>
          </cell>
          <cell r="L16">
            <v>100</v>
          </cell>
          <cell r="M16">
            <v>96</v>
          </cell>
          <cell r="N16">
            <v>93</v>
          </cell>
          <cell r="O16">
            <v>89</v>
          </cell>
          <cell r="P16">
            <v>89</v>
          </cell>
          <cell r="Q16">
            <v>89</v>
          </cell>
          <cell r="R16">
            <v>77</v>
          </cell>
          <cell r="S16">
            <v>77</v>
          </cell>
          <cell r="T16">
            <v>77</v>
          </cell>
          <cell r="U16">
            <v>77</v>
          </cell>
          <cell r="V16">
            <v>77</v>
          </cell>
          <cell r="W16">
            <v>77</v>
          </cell>
          <cell r="X16">
            <v>77</v>
          </cell>
          <cell r="Y16">
            <v>77</v>
          </cell>
          <cell r="Z16">
            <v>77</v>
          </cell>
          <cell r="AA16">
            <v>77</v>
          </cell>
          <cell r="AB16">
            <v>77</v>
          </cell>
          <cell r="AC16">
            <v>77</v>
          </cell>
          <cell r="AD16">
            <v>77</v>
          </cell>
          <cell r="AE16">
            <v>77</v>
          </cell>
          <cell r="AF16">
            <v>77</v>
          </cell>
          <cell r="AG16">
            <v>77</v>
          </cell>
          <cell r="AH16">
            <v>77</v>
          </cell>
          <cell r="AI16">
            <v>77</v>
          </cell>
          <cell r="AJ16">
            <v>77</v>
          </cell>
          <cell r="AK16">
            <v>77</v>
          </cell>
          <cell r="AL16">
            <v>77</v>
          </cell>
          <cell r="AM16">
            <v>77</v>
          </cell>
          <cell r="AN16">
            <v>77</v>
          </cell>
          <cell r="AO16">
            <v>77</v>
          </cell>
        </row>
        <row r="17">
          <cell r="A17" t="str">
            <v xml:space="preserve"> </v>
          </cell>
          <cell r="B17" t="str">
            <v xml:space="preserve"> </v>
          </cell>
          <cell r="C17" t="str">
            <v xml:space="preserve"> </v>
          </cell>
          <cell r="D17" t="str">
            <v xml:space="preserve"> </v>
          </cell>
          <cell r="E17" t="str">
            <v xml:space="preserve"> </v>
          </cell>
          <cell r="F17" t="str">
            <v xml:space="preserve"> </v>
          </cell>
          <cell r="G17" t="str">
            <v xml:space="preserve"> </v>
          </cell>
          <cell r="H17" t="str">
            <v xml:space="preserve"> </v>
          </cell>
          <cell r="I17" t="str">
            <v xml:space="preserve"> </v>
          </cell>
          <cell r="J17" t="str">
            <v xml:space="preserve"> </v>
          </cell>
          <cell r="K17" t="str">
            <v xml:space="preserve"> </v>
          </cell>
          <cell r="L17" t="str">
            <v xml:space="preserve"> </v>
          </cell>
          <cell r="M17" t="str">
            <v xml:space="preserve"> </v>
          </cell>
          <cell r="N17" t="str">
            <v xml:space="preserve"> </v>
          </cell>
          <cell r="O17" t="str">
            <v xml:space="preserve"> </v>
          </cell>
          <cell r="P17" t="str">
            <v xml:space="preserve"> </v>
          </cell>
          <cell r="Q17" t="str">
            <v xml:space="preserve"> </v>
          </cell>
          <cell r="R17" t="str">
            <v xml:space="preserve"> </v>
          </cell>
          <cell r="S17" t="str">
            <v xml:space="preserve"> </v>
          </cell>
          <cell r="T17" t="str">
            <v xml:space="preserve"> </v>
          </cell>
          <cell r="U17" t="str">
            <v xml:space="preserve"> </v>
          </cell>
          <cell r="V17" t="str">
            <v xml:space="preserve"> </v>
          </cell>
          <cell r="W17" t="str">
            <v xml:space="preserve"> </v>
          </cell>
          <cell r="X17" t="str">
            <v xml:space="preserve"> </v>
          </cell>
          <cell r="Y17" t="str">
            <v xml:space="preserve"> </v>
          </cell>
          <cell r="Z17" t="str">
            <v xml:space="preserve"> </v>
          </cell>
          <cell r="AA17" t="str">
            <v xml:space="preserve"> </v>
          </cell>
          <cell r="AB17" t="str">
            <v xml:space="preserve"> </v>
          </cell>
          <cell r="AC17" t="str">
            <v xml:space="preserve"> </v>
          </cell>
          <cell r="AD17" t="str">
            <v xml:space="preserve"> </v>
          </cell>
          <cell r="AE17" t="str">
            <v xml:space="preserve"> </v>
          </cell>
          <cell r="AF17" t="str">
            <v xml:space="preserve"> </v>
          </cell>
          <cell r="AG17" t="str">
            <v xml:space="preserve"> </v>
          </cell>
          <cell r="AH17" t="str">
            <v xml:space="preserve"> </v>
          </cell>
          <cell r="AI17" t="str">
            <v xml:space="preserve"> </v>
          </cell>
          <cell r="AJ17" t="str">
            <v xml:space="preserve"> </v>
          </cell>
          <cell r="AK17" t="str">
            <v xml:space="preserve"> </v>
          </cell>
          <cell r="AL17" t="str">
            <v xml:space="preserve"> </v>
          </cell>
          <cell r="AM17" t="str">
            <v xml:space="preserve"> </v>
          </cell>
          <cell r="AN17" t="str">
            <v xml:space="preserve"> </v>
          </cell>
          <cell r="AO17" t="str">
            <v xml:space="preserve"> </v>
          </cell>
        </row>
        <row r="18">
          <cell r="A18" t="str">
            <v xml:space="preserve"> </v>
          </cell>
          <cell r="B18" t="str">
            <v xml:space="preserve"> </v>
          </cell>
          <cell r="C18" t="str">
            <v xml:space="preserve"> </v>
          </cell>
          <cell r="D18" t="str">
            <v xml:space="preserve"> </v>
          </cell>
          <cell r="E18" t="str">
            <v xml:space="preserve"> </v>
          </cell>
          <cell r="F18" t="str">
            <v xml:space="preserve"> </v>
          </cell>
          <cell r="G18" t="str">
            <v xml:space="preserve"> </v>
          </cell>
          <cell r="H18" t="str">
            <v xml:space="preserve"> </v>
          </cell>
          <cell r="I18" t="str">
            <v xml:space="preserve"> </v>
          </cell>
          <cell r="J18" t="str">
            <v xml:space="preserve"> </v>
          </cell>
          <cell r="K18" t="str">
            <v xml:space="preserve"> </v>
          </cell>
          <cell r="L18" t="str">
            <v xml:space="preserve"> </v>
          </cell>
          <cell r="M18" t="str">
            <v xml:space="preserve"> </v>
          </cell>
          <cell r="N18" t="str">
            <v xml:space="preserve"> </v>
          </cell>
          <cell r="O18" t="str">
            <v xml:space="preserve"> </v>
          </cell>
          <cell r="P18" t="str">
            <v xml:space="preserve"> </v>
          </cell>
          <cell r="Q18" t="str">
            <v xml:space="preserve"> </v>
          </cell>
          <cell r="R18" t="str">
            <v xml:space="preserve"> </v>
          </cell>
          <cell r="S18" t="str">
            <v xml:space="preserve"> </v>
          </cell>
          <cell r="T18" t="str">
            <v xml:space="preserve"> </v>
          </cell>
          <cell r="U18" t="str">
            <v xml:space="preserve"> </v>
          </cell>
          <cell r="V18" t="str">
            <v xml:space="preserve"> </v>
          </cell>
          <cell r="W18" t="str">
            <v xml:space="preserve"> </v>
          </cell>
          <cell r="X18" t="str">
            <v xml:space="preserve"> </v>
          </cell>
          <cell r="Y18" t="str">
            <v xml:space="preserve"> </v>
          </cell>
          <cell r="Z18" t="str">
            <v xml:space="preserve"> </v>
          </cell>
          <cell r="AA18" t="str">
            <v xml:space="preserve"> </v>
          </cell>
          <cell r="AB18" t="str">
            <v xml:space="preserve"> </v>
          </cell>
          <cell r="AC18" t="str">
            <v xml:space="preserve"> </v>
          </cell>
          <cell r="AD18" t="str">
            <v xml:space="preserve"> </v>
          </cell>
          <cell r="AE18" t="str">
            <v xml:space="preserve"> </v>
          </cell>
          <cell r="AF18" t="str">
            <v xml:space="preserve"> </v>
          </cell>
          <cell r="AG18" t="str">
            <v xml:space="preserve"> </v>
          </cell>
          <cell r="AH18" t="str">
            <v xml:space="preserve"> </v>
          </cell>
          <cell r="AI18" t="str">
            <v xml:space="preserve"> </v>
          </cell>
          <cell r="AJ18" t="str">
            <v xml:space="preserve"> </v>
          </cell>
          <cell r="AK18" t="str">
            <v xml:space="preserve"> </v>
          </cell>
          <cell r="AL18" t="str">
            <v xml:space="preserve"> </v>
          </cell>
          <cell r="AM18" t="str">
            <v xml:space="preserve"> </v>
          </cell>
          <cell r="AN18" t="str">
            <v xml:space="preserve"> </v>
          </cell>
          <cell r="AO18" t="str">
            <v xml:space="preserve"> </v>
          </cell>
        </row>
        <row r="19">
          <cell r="A19" t="str">
            <v xml:space="preserve"> 16M SPF</v>
          </cell>
          <cell r="B19" t="str">
            <v xml:space="preserve"> </v>
          </cell>
          <cell r="C19">
            <v>5</v>
          </cell>
          <cell r="D19">
            <v>5</v>
          </cell>
          <cell r="E19">
            <v>5</v>
          </cell>
          <cell r="F19">
            <v>5</v>
          </cell>
          <cell r="G19">
            <v>5</v>
          </cell>
          <cell r="H19">
            <v>5</v>
          </cell>
          <cell r="I19">
            <v>5</v>
          </cell>
          <cell r="J19">
            <v>5</v>
          </cell>
          <cell r="K19">
            <v>5</v>
          </cell>
          <cell r="L19">
            <v>5</v>
          </cell>
          <cell r="M19">
            <v>5</v>
          </cell>
          <cell r="N19">
            <v>5</v>
          </cell>
          <cell r="O19">
            <v>5</v>
          </cell>
          <cell r="P19">
            <v>5</v>
          </cell>
          <cell r="Q19">
            <v>5</v>
          </cell>
          <cell r="R19">
            <v>5</v>
          </cell>
          <cell r="S19">
            <v>5</v>
          </cell>
          <cell r="T19">
            <v>5</v>
          </cell>
          <cell r="U19">
            <v>5</v>
          </cell>
          <cell r="V19">
            <v>5</v>
          </cell>
          <cell r="W19">
            <v>5</v>
          </cell>
          <cell r="X19">
            <v>5</v>
          </cell>
          <cell r="Y19">
            <v>5</v>
          </cell>
          <cell r="Z19">
            <v>5</v>
          </cell>
          <cell r="AA19">
            <v>5</v>
          </cell>
          <cell r="AB19">
            <v>5</v>
          </cell>
          <cell r="AC19">
            <v>5</v>
          </cell>
          <cell r="AD19">
            <v>5</v>
          </cell>
          <cell r="AE19">
            <v>5</v>
          </cell>
          <cell r="AF19">
            <v>5</v>
          </cell>
          <cell r="AG19">
            <v>5</v>
          </cell>
          <cell r="AH19">
            <v>5</v>
          </cell>
          <cell r="AI19">
            <v>5</v>
          </cell>
          <cell r="AJ19">
            <v>5</v>
          </cell>
          <cell r="AK19">
            <v>5</v>
          </cell>
          <cell r="AL19">
            <v>5</v>
          </cell>
          <cell r="AM19">
            <v>5</v>
          </cell>
          <cell r="AN19">
            <v>5</v>
          </cell>
          <cell r="AO19">
            <v>5</v>
          </cell>
        </row>
        <row r="20">
          <cell r="A20" t="str">
            <v xml:space="preserve"> 64M SPF </v>
          </cell>
          <cell r="B20" t="str">
            <v xml:space="preserve"> </v>
          </cell>
          <cell r="C20" t="str">
            <v xml:space="preserve"> </v>
          </cell>
          <cell r="D20" t="str">
            <v xml:space="preserve"> </v>
          </cell>
          <cell r="E20" t="str">
            <v xml:space="preserve"> </v>
          </cell>
          <cell r="F20" t="str">
            <v xml:space="preserve"> </v>
          </cell>
          <cell r="G20" t="str">
            <v xml:space="preserve"> </v>
          </cell>
          <cell r="H20" t="str">
            <v xml:space="preserve"> </v>
          </cell>
          <cell r="I20" t="str">
            <v xml:space="preserve"> </v>
          </cell>
          <cell r="J20" t="str">
            <v xml:space="preserve"> </v>
          </cell>
          <cell r="K20" t="str">
            <v xml:space="preserve"> </v>
          </cell>
          <cell r="L20">
            <v>10</v>
          </cell>
          <cell r="M20">
            <v>10</v>
          </cell>
          <cell r="N20">
            <v>10</v>
          </cell>
          <cell r="O20">
            <v>10</v>
          </cell>
          <cell r="P20">
            <v>10</v>
          </cell>
          <cell r="Q20">
            <v>10</v>
          </cell>
          <cell r="R20">
            <v>10</v>
          </cell>
          <cell r="S20">
            <v>10</v>
          </cell>
          <cell r="T20">
            <v>10</v>
          </cell>
          <cell r="U20">
            <v>10</v>
          </cell>
          <cell r="V20">
            <v>10</v>
          </cell>
          <cell r="W20">
            <v>10</v>
          </cell>
          <cell r="X20">
            <v>10</v>
          </cell>
          <cell r="Y20">
            <v>10</v>
          </cell>
          <cell r="Z20">
            <v>10</v>
          </cell>
          <cell r="AA20">
            <v>10</v>
          </cell>
          <cell r="AB20">
            <v>10</v>
          </cell>
          <cell r="AC20">
            <v>10</v>
          </cell>
          <cell r="AD20">
            <v>10</v>
          </cell>
          <cell r="AE20">
            <v>10</v>
          </cell>
          <cell r="AF20">
            <v>10</v>
          </cell>
          <cell r="AG20">
            <v>10</v>
          </cell>
          <cell r="AH20">
            <v>10</v>
          </cell>
          <cell r="AI20">
            <v>10</v>
          </cell>
          <cell r="AJ20">
            <v>10</v>
          </cell>
          <cell r="AK20">
            <v>10</v>
          </cell>
          <cell r="AL20">
            <v>10</v>
          </cell>
          <cell r="AM20">
            <v>10</v>
          </cell>
          <cell r="AN20">
            <v>10</v>
          </cell>
          <cell r="AO20">
            <v>10</v>
          </cell>
        </row>
        <row r="21">
          <cell r="A21" t="str">
            <v xml:space="preserve"> </v>
          </cell>
          <cell r="B21" t="str">
            <v xml:space="preserve"> </v>
          </cell>
          <cell r="C21" t="str">
            <v xml:space="preserve"> </v>
          </cell>
          <cell r="D21" t="str">
            <v xml:space="preserve"> </v>
          </cell>
          <cell r="E21" t="str">
            <v xml:space="preserve"> </v>
          </cell>
          <cell r="F21" t="str">
            <v xml:space="preserve"> </v>
          </cell>
          <cell r="G21" t="str">
            <v xml:space="preserve"> </v>
          </cell>
          <cell r="H21" t="str">
            <v xml:space="preserve"> </v>
          </cell>
          <cell r="I21" t="str">
            <v xml:space="preserve"> 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  <cell r="M21" t="str">
            <v xml:space="preserve"> </v>
          </cell>
          <cell r="N21" t="str">
            <v xml:space="preserve"> </v>
          </cell>
          <cell r="O21" t="str">
            <v xml:space="preserve"> </v>
          </cell>
          <cell r="P21" t="str">
            <v xml:space="preserve"> </v>
          </cell>
          <cell r="Q21" t="str">
            <v xml:space="preserve"> </v>
          </cell>
          <cell r="R21" t="str">
            <v xml:space="preserve"> </v>
          </cell>
          <cell r="S21" t="str">
            <v xml:space="preserve"> </v>
          </cell>
          <cell r="T21" t="str">
            <v xml:space="preserve"> </v>
          </cell>
          <cell r="U21" t="str">
            <v xml:space="preserve"> </v>
          </cell>
          <cell r="V21" t="str">
            <v xml:space="preserve"> </v>
          </cell>
          <cell r="W21" t="str">
            <v xml:space="preserve"> </v>
          </cell>
          <cell r="X21" t="str">
            <v xml:space="preserve"> </v>
          </cell>
          <cell r="Y21" t="str">
            <v xml:space="preserve"> </v>
          </cell>
          <cell r="Z21" t="str">
            <v xml:space="preserve"> </v>
          </cell>
          <cell r="AA21" t="str">
            <v xml:space="preserve"> </v>
          </cell>
          <cell r="AB21" t="str">
            <v xml:space="preserve"> </v>
          </cell>
          <cell r="AC21" t="str">
            <v xml:space="preserve"> </v>
          </cell>
          <cell r="AD21" t="str">
            <v xml:space="preserve"> </v>
          </cell>
          <cell r="AE21" t="str">
            <v xml:space="preserve"> </v>
          </cell>
          <cell r="AF21" t="str">
            <v xml:space="preserve"> </v>
          </cell>
          <cell r="AG21" t="str">
            <v xml:space="preserve"> </v>
          </cell>
          <cell r="AH21" t="str">
            <v xml:space="preserve"> </v>
          </cell>
          <cell r="AI21" t="str">
            <v xml:space="preserve"> </v>
          </cell>
          <cell r="AJ21" t="str">
            <v xml:space="preserve"> </v>
          </cell>
          <cell r="AK21" t="str">
            <v xml:space="preserve"> </v>
          </cell>
          <cell r="AL21" t="str">
            <v xml:space="preserve"> </v>
          </cell>
          <cell r="AM21" t="str">
            <v xml:space="preserve"> </v>
          </cell>
          <cell r="AN21" t="str">
            <v xml:space="preserve"> </v>
          </cell>
          <cell r="AO21" t="str">
            <v xml:space="preserve"> </v>
          </cell>
        </row>
        <row r="22">
          <cell r="A22" t="str">
            <v xml:space="preserve"> </v>
          </cell>
          <cell r="B22" t="str">
            <v xml:space="preserve"> </v>
          </cell>
          <cell r="C22" t="str">
            <v xml:space="preserve"> </v>
          </cell>
          <cell r="D22" t="str">
            <v xml:space="preserve"> </v>
          </cell>
          <cell r="E22" t="str">
            <v xml:space="preserve"> </v>
          </cell>
          <cell r="F22" t="str">
            <v xml:space="preserve"> </v>
          </cell>
          <cell r="G22" t="str">
            <v xml:space="preserve"> </v>
          </cell>
          <cell r="H22" t="str">
            <v xml:space="preserve"> </v>
          </cell>
          <cell r="I22" t="str">
            <v xml:space="preserve"> 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  <cell r="M22" t="str">
            <v xml:space="preserve"> </v>
          </cell>
          <cell r="N22" t="str">
            <v xml:space="preserve"> </v>
          </cell>
          <cell r="O22" t="str">
            <v xml:space="preserve"> </v>
          </cell>
          <cell r="P22" t="str">
            <v xml:space="preserve"> </v>
          </cell>
          <cell r="Q22" t="str">
            <v xml:space="preserve"> </v>
          </cell>
          <cell r="R22" t="str">
            <v xml:space="preserve"> </v>
          </cell>
          <cell r="S22" t="str">
            <v xml:space="preserve"> </v>
          </cell>
          <cell r="T22" t="str">
            <v xml:space="preserve"> </v>
          </cell>
          <cell r="U22" t="str">
            <v xml:space="preserve"> </v>
          </cell>
          <cell r="V22" t="str">
            <v xml:space="preserve"> </v>
          </cell>
          <cell r="W22" t="str">
            <v xml:space="preserve"> </v>
          </cell>
          <cell r="X22" t="str">
            <v xml:space="preserve"> </v>
          </cell>
          <cell r="Y22" t="str">
            <v xml:space="preserve"> </v>
          </cell>
          <cell r="Z22" t="str">
            <v xml:space="preserve"> </v>
          </cell>
          <cell r="AA22" t="str">
            <v xml:space="preserve"> </v>
          </cell>
          <cell r="AB22" t="str">
            <v xml:space="preserve"> </v>
          </cell>
          <cell r="AC22" t="str">
            <v xml:space="preserve"> </v>
          </cell>
          <cell r="AD22" t="str">
            <v xml:space="preserve"> </v>
          </cell>
          <cell r="AE22" t="str">
            <v xml:space="preserve"> </v>
          </cell>
          <cell r="AF22" t="str">
            <v xml:space="preserve"> </v>
          </cell>
          <cell r="AG22" t="str">
            <v xml:space="preserve"> </v>
          </cell>
          <cell r="AH22" t="str">
            <v xml:space="preserve"> </v>
          </cell>
          <cell r="AI22" t="str">
            <v xml:space="preserve"> </v>
          </cell>
          <cell r="AJ22" t="str">
            <v xml:space="preserve"> </v>
          </cell>
          <cell r="AK22" t="str">
            <v xml:space="preserve"> </v>
          </cell>
          <cell r="AL22" t="str">
            <v xml:space="preserve"> </v>
          </cell>
          <cell r="AM22" t="str">
            <v xml:space="preserve"> </v>
          </cell>
          <cell r="AN22" t="str">
            <v xml:space="preserve"> </v>
          </cell>
          <cell r="AO22" t="str">
            <v xml:space="preserve"> </v>
          </cell>
        </row>
        <row r="23">
          <cell r="A23" t="str">
            <v>16M VM</v>
          </cell>
          <cell r="B23" t="str">
            <v xml:space="preserve"> </v>
          </cell>
          <cell r="C23">
            <v>1</v>
          </cell>
          <cell r="D23">
            <v>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  <cell r="S23">
            <v>1</v>
          </cell>
          <cell r="T23">
            <v>1</v>
          </cell>
          <cell r="U23">
            <v>1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</row>
        <row r="24">
          <cell r="A24" t="str">
            <v xml:space="preserve">64M VM </v>
          </cell>
          <cell r="B24" t="str">
            <v xml:space="preserve"> </v>
          </cell>
          <cell r="C24" t="str">
            <v xml:space="preserve"> </v>
          </cell>
          <cell r="D24" t="str">
            <v xml:space="preserve"> </v>
          </cell>
          <cell r="E24" t="str">
            <v xml:space="preserve"> </v>
          </cell>
          <cell r="F24" t="str">
            <v xml:space="preserve"> </v>
          </cell>
          <cell r="G24" t="str">
            <v xml:space="preserve"> </v>
          </cell>
          <cell r="H24">
            <v>1</v>
          </cell>
          <cell r="I24">
            <v>1</v>
          </cell>
          <cell r="J24">
            <v>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1</v>
          </cell>
          <cell r="S24">
            <v>1</v>
          </cell>
          <cell r="T24">
            <v>1</v>
          </cell>
          <cell r="U24">
            <v>1</v>
          </cell>
          <cell r="V24">
            <v>1</v>
          </cell>
          <cell r="W24">
            <v>1</v>
          </cell>
          <cell r="X24">
            <v>1</v>
          </cell>
          <cell r="Y24">
            <v>1</v>
          </cell>
          <cell r="Z24">
            <v>1</v>
          </cell>
          <cell r="AA24">
            <v>1</v>
          </cell>
          <cell r="AB24">
            <v>1</v>
          </cell>
          <cell r="AC24">
            <v>1</v>
          </cell>
          <cell r="AD24">
            <v>1</v>
          </cell>
          <cell r="AE24">
            <v>1</v>
          </cell>
          <cell r="AF24">
            <v>1</v>
          </cell>
          <cell r="AG24">
            <v>1</v>
          </cell>
          <cell r="AH24">
            <v>1</v>
          </cell>
          <cell r="AI24">
            <v>1</v>
          </cell>
          <cell r="AJ24">
            <v>1</v>
          </cell>
          <cell r="AK24">
            <v>1</v>
          </cell>
          <cell r="AL24">
            <v>1</v>
          </cell>
          <cell r="AM24">
            <v>1</v>
          </cell>
          <cell r="AN24">
            <v>1</v>
          </cell>
          <cell r="AO24">
            <v>1</v>
          </cell>
        </row>
        <row r="25">
          <cell r="A25" t="str">
            <v xml:space="preserve"> </v>
          </cell>
          <cell r="B25" t="str">
            <v xml:space="preserve"> </v>
          </cell>
          <cell r="C25" t="str">
            <v xml:space="preserve"> </v>
          </cell>
          <cell r="D25" t="str">
            <v xml:space="preserve"> </v>
          </cell>
          <cell r="E25" t="str">
            <v xml:space="preserve"> </v>
          </cell>
          <cell r="F25" t="str">
            <v xml:space="preserve"> </v>
          </cell>
          <cell r="G25" t="str">
            <v xml:space="preserve"> </v>
          </cell>
          <cell r="H25" t="str">
            <v xml:space="preserve"> </v>
          </cell>
          <cell r="I25" t="str">
            <v xml:space="preserve"> 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  <cell r="M25" t="str">
            <v xml:space="preserve"> </v>
          </cell>
          <cell r="N25" t="str">
            <v xml:space="preserve"> </v>
          </cell>
          <cell r="O25" t="str">
            <v xml:space="preserve"> </v>
          </cell>
          <cell r="P25" t="str">
            <v xml:space="preserve"> </v>
          </cell>
          <cell r="Q25" t="str">
            <v xml:space="preserve"> </v>
          </cell>
          <cell r="R25" t="str">
            <v xml:space="preserve"> </v>
          </cell>
          <cell r="S25" t="str">
            <v xml:space="preserve"> </v>
          </cell>
          <cell r="T25" t="str">
            <v xml:space="preserve"> </v>
          </cell>
          <cell r="U25" t="str">
            <v xml:space="preserve"> </v>
          </cell>
          <cell r="V25" t="str">
            <v xml:space="preserve"> </v>
          </cell>
          <cell r="W25" t="str">
            <v xml:space="preserve"> </v>
          </cell>
          <cell r="X25" t="str">
            <v xml:space="preserve"> </v>
          </cell>
          <cell r="Y25" t="str">
            <v xml:space="preserve"> </v>
          </cell>
          <cell r="Z25" t="str">
            <v xml:space="preserve"> </v>
          </cell>
          <cell r="AA25" t="str">
            <v xml:space="preserve"> </v>
          </cell>
          <cell r="AB25" t="str">
            <v xml:space="preserve"> </v>
          </cell>
          <cell r="AC25" t="str">
            <v xml:space="preserve"> </v>
          </cell>
          <cell r="AD25" t="str">
            <v xml:space="preserve"> </v>
          </cell>
          <cell r="AE25" t="str">
            <v xml:space="preserve"> </v>
          </cell>
          <cell r="AF25" t="str">
            <v xml:space="preserve"> </v>
          </cell>
          <cell r="AG25" t="str">
            <v xml:space="preserve"> </v>
          </cell>
          <cell r="AH25" t="str">
            <v xml:space="preserve"> </v>
          </cell>
          <cell r="AI25" t="str">
            <v xml:space="preserve"> </v>
          </cell>
          <cell r="AJ25" t="str">
            <v xml:space="preserve"> </v>
          </cell>
          <cell r="AK25" t="str">
            <v xml:space="preserve"> </v>
          </cell>
          <cell r="AL25" t="str">
            <v xml:space="preserve"> </v>
          </cell>
          <cell r="AM25" t="str">
            <v xml:space="preserve"> </v>
          </cell>
          <cell r="AN25" t="str">
            <v xml:space="preserve"> </v>
          </cell>
          <cell r="AO25" t="str">
            <v xml:space="preserve"> </v>
          </cell>
        </row>
        <row r="26">
          <cell r="A26" t="str">
            <v xml:space="preserve"> </v>
          </cell>
          <cell r="B26" t="str">
            <v xml:space="preserve"> </v>
          </cell>
          <cell r="C26" t="str">
            <v xml:space="preserve"> </v>
          </cell>
          <cell r="D26" t="str">
            <v xml:space="preserve"> </v>
          </cell>
          <cell r="E26" t="str">
            <v xml:space="preserve"> </v>
          </cell>
          <cell r="F26" t="str">
            <v xml:space="preserve"> </v>
          </cell>
          <cell r="G26" t="str">
            <v xml:space="preserve"> </v>
          </cell>
          <cell r="H26" t="str">
            <v xml:space="preserve"> </v>
          </cell>
          <cell r="I26" t="str">
            <v xml:space="preserve"> </v>
          </cell>
          <cell r="J26" t="str">
            <v xml:space="preserve"> </v>
          </cell>
          <cell r="K26" t="str">
            <v xml:space="preserve"> </v>
          </cell>
          <cell r="L26" t="str">
            <v xml:space="preserve"> </v>
          </cell>
          <cell r="M26" t="str">
            <v xml:space="preserve"> </v>
          </cell>
          <cell r="N26" t="str">
            <v xml:space="preserve"> </v>
          </cell>
          <cell r="O26" t="str">
            <v xml:space="preserve"> </v>
          </cell>
          <cell r="P26" t="str">
            <v xml:space="preserve"> </v>
          </cell>
          <cell r="Q26" t="str">
            <v xml:space="preserve"> </v>
          </cell>
          <cell r="R26" t="str">
            <v xml:space="preserve"> </v>
          </cell>
          <cell r="S26" t="str">
            <v xml:space="preserve"> </v>
          </cell>
          <cell r="T26" t="str">
            <v xml:space="preserve"> </v>
          </cell>
          <cell r="U26" t="str">
            <v xml:space="preserve"> </v>
          </cell>
          <cell r="V26" t="str">
            <v xml:space="preserve"> </v>
          </cell>
          <cell r="W26" t="str">
            <v xml:space="preserve"> </v>
          </cell>
          <cell r="X26" t="str">
            <v xml:space="preserve"> </v>
          </cell>
          <cell r="Y26" t="str">
            <v xml:space="preserve"> </v>
          </cell>
          <cell r="Z26" t="str">
            <v xml:space="preserve"> </v>
          </cell>
          <cell r="AA26" t="str">
            <v xml:space="preserve"> </v>
          </cell>
          <cell r="AB26" t="str">
            <v xml:space="preserve"> </v>
          </cell>
          <cell r="AC26" t="str">
            <v xml:space="preserve"> </v>
          </cell>
          <cell r="AD26" t="str">
            <v xml:space="preserve"> </v>
          </cell>
          <cell r="AE26" t="str">
            <v xml:space="preserve"> </v>
          </cell>
          <cell r="AF26" t="str">
            <v xml:space="preserve"> </v>
          </cell>
          <cell r="AG26" t="str">
            <v xml:space="preserve"> </v>
          </cell>
          <cell r="AH26" t="str">
            <v xml:space="preserve"> </v>
          </cell>
          <cell r="AI26" t="str">
            <v xml:space="preserve"> </v>
          </cell>
          <cell r="AJ26" t="str">
            <v xml:space="preserve"> </v>
          </cell>
          <cell r="AK26" t="str">
            <v xml:space="preserve"> </v>
          </cell>
          <cell r="AL26" t="str">
            <v xml:space="preserve"> </v>
          </cell>
          <cell r="AM26" t="str">
            <v xml:space="preserve"> </v>
          </cell>
          <cell r="AN26" t="str">
            <v xml:space="preserve"> </v>
          </cell>
          <cell r="AO26" t="str">
            <v xml:space="preserve"> </v>
          </cell>
        </row>
        <row r="27">
          <cell r="A27" t="str">
            <v>16M AMB</v>
          </cell>
          <cell r="B27">
            <v>14</v>
          </cell>
          <cell r="C27">
            <v>14</v>
          </cell>
          <cell r="D27">
            <v>14</v>
          </cell>
          <cell r="E27">
            <v>14</v>
          </cell>
          <cell r="F27">
            <v>10</v>
          </cell>
          <cell r="G27">
            <v>8</v>
          </cell>
          <cell r="H27">
            <v>7</v>
          </cell>
          <cell r="I27">
            <v>7</v>
          </cell>
          <cell r="J27">
            <v>7</v>
          </cell>
          <cell r="K27">
            <v>7</v>
          </cell>
          <cell r="L27">
            <v>7</v>
          </cell>
          <cell r="M27">
            <v>7</v>
          </cell>
          <cell r="N27">
            <v>7</v>
          </cell>
          <cell r="O27">
            <v>7</v>
          </cell>
          <cell r="P27">
            <v>7</v>
          </cell>
          <cell r="Q27">
            <v>7</v>
          </cell>
          <cell r="R27">
            <v>7</v>
          </cell>
          <cell r="S27">
            <v>7</v>
          </cell>
          <cell r="T27">
            <v>7</v>
          </cell>
          <cell r="U27">
            <v>7</v>
          </cell>
          <cell r="V27">
            <v>7</v>
          </cell>
          <cell r="W27">
            <v>7</v>
          </cell>
          <cell r="X27">
            <v>7</v>
          </cell>
          <cell r="Y27">
            <v>7</v>
          </cell>
          <cell r="Z27">
            <v>7</v>
          </cell>
          <cell r="AA27">
            <v>7</v>
          </cell>
          <cell r="AB27">
            <v>7</v>
          </cell>
          <cell r="AC27">
            <v>7</v>
          </cell>
          <cell r="AD27">
            <v>7</v>
          </cell>
          <cell r="AE27">
            <v>7</v>
          </cell>
          <cell r="AF27">
            <v>7</v>
          </cell>
          <cell r="AG27">
            <v>7</v>
          </cell>
          <cell r="AH27">
            <v>7</v>
          </cell>
          <cell r="AI27">
            <v>7</v>
          </cell>
          <cell r="AJ27">
            <v>7</v>
          </cell>
          <cell r="AK27">
            <v>7</v>
          </cell>
          <cell r="AL27">
            <v>7</v>
          </cell>
          <cell r="AM27">
            <v>7</v>
          </cell>
          <cell r="AN27">
            <v>7</v>
          </cell>
          <cell r="AO27">
            <v>7</v>
          </cell>
        </row>
        <row r="28">
          <cell r="A28" t="str">
            <v>64M AMB</v>
          </cell>
          <cell r="B28" t="str">
            <v xml:space="preserve"> </v>
          </cell>
          <cell r="C28" t="str">
            <v xml:space="preserve"> </v>
          </cell>
          <cell r="D28">
            <v>10</v>
          </cell>
          <cell r="E28">
            <v>10</v>
          </cell>
          <cell r="F28">
            <v>10</v>
          </cell>
          <cell r="G28">
            <v>10</v>
          </cell>
          <cell r="H28">
            <v>10</v>
          </cell>
          <cell r="I28">
            <v>10</v>
          </cell>
          <cell r="J28">
            <v>10</v>
          </cell>
          <cell r="K28">
            <v>10</v>
          </cell>
          <cell r="L28">
            <v>7</v>
          </cell>
          <cell r="M28">
            <v>7</v>
          </cell>
          <cell r="N28">
            <v>7</v>
          </cell>
          <cell r="O28">
            <v>7</v>
          </cell>
          <cell r="P28">
            <v>7</v>
          </cell>
          <cell r="Q28">
            <v>7</v>
          </cell>
          <cell r="R28">
            <v>7</v>
          </cell>
          <cell r="S28">
            <v>7</v>
          </cell>
          <cell r="T28">
            <v>7</v>
          </cell>
          <cell r="U28">
            <v>7</v>
          </cell>
          <cell r="V28">
            <v>7</v>
          </cell>
          <cell r="W28">
            <v>7</v>
          </cell>
          <cell r="X28">
            <v>7</v>
          </cell>
          <cell r="Y28">
            <v>7</v>
          </cell>
          <cell r="Z28">
            <v>7</v>
          </cell>
          <cell r="AA28">
            <v>7</v>
          </cell>
          <cell r="AB28">
            <v>7</v>
          </cell>
          <cell r="AC28">
            <v>7</v>
          </cell>
          <cell r="AD28">
            <v>7</v>
          </cell>
          <cell r="AE28">
            <v>7</v>
          </cell>
          <cell r="AF28">
            <v>7</v>
          </cell>
          <cell r="AG28">
            <v>7</v>
          </cell>
          <cell r="AH28">
            <v>7</v>
          </cell>
          <cell r="AI28">
            <v>7</v>
          </cell>
          <cell r="AJ28">
            <v>7</v>
          </cell>
          <cell r="AK28">
            <v>7</v>
          </cell>
          <cell r="AL28">
            <v>7</v>
          </cell>
          <cell r="AM28">
            <v>7</v>
          </cell>
          <cell r="AN28">
            <v>7</v>
          </cell>
          <cell r="AO28">
            <v>7</v>
          </cell>
        </row>
        <row r="29">
          <cell r="A29" t="str">
            <v xml:space="preserve"> </v>
          </cell>
          <cell r="B29" t="str">
            <v xml:space="preserve"> </v>
          </cell>
          <cell r="C29" t="str">
            <v xml:space="preserve"> </v>
          </cell>
          <cell r="D29" t="str">
            <v xml:space="preserve"> </v>
          </cell>
          <cell r="E29" t="str">
            <v xml:space="preserve"> </v>
          </cell>
          <cell r="F29" t="str">
            <v xml:space="preserve"> </v>
          </cell>
          <cell r="G29" t="str">
            <v xml:space="preserve"> </v>
          </cell>
          <cell r="H29" t="str">
            <v xml:space="preserve"> </v>
          </cell>
          <cell r="I29" t="str">
            <v xml:space="preserve"> 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  <cell r="M29" t="str">
            <v xml:space="preserve"> </v>
          </cell>
          <cell r="N29" t="str">
            <v xml:space="preserve"> </v>
          </cell>
          <cell r="O29" t="str">
            <v xml:space="preserve"> </v>
          </cell>
          <cell r="P29" t="str">
            <v xml:space="preserve"> </v>
          </cell>
          <cell r="Q29" t="str">
            <v xml:space="preserve"> </v>
          </cell>
          <cell r="R29" t="str">
            <v xml:space="preserve"> </v>
          </cell>
          <cell r="S29" t="str">
            <v xml:space="preserve"> </v>
          </cell>
          <cell r="T29" t="str">
            <v xml:space="preserve"> </v>
          </cell>
          <cell r="U29" t="str">
            <v xml:space="preserve"> </v>
          </cell>
          <cell r="V29" t="str">
            <v xml:space="preserve"> </v>
          </cell>
          <cell r="W29" t="str">
            <v xml:space="preserve"> </v>
          </cell>
          <cell r="X29" t="str">
            <v xml:space="preserve"> </v>
          </cell>
          <cell r="Y29" t="str">
            <v xml:space="preserve"> </v>
          </cell>
          <cell r="Z29" t="str">
            <v xml:space="preserve"> </v>
          </cell>
          <cell r="AA29" t="str">
            <v xml:space="preserve"> </v>
          </cell>
          <cell r="AB29" t="str">
            <v xml:space="preserve"> </v>
          </cell>
          <cell r="AC29" t="str">
            <v xml:space="preserve"> </v>
          </cell>
          <cell r="AD29" t="str">
            <v xml:space="preserve"> </v>
          </cell>
          <cell r="AE29" t="str">
            <v xml:space="preserve"> </v>
          </cell>
          <cell r="AF29" t="str">
            <v xml:space="preserve"> </v>
          </cell>
          <cell r="AG29" t="str">
            <v xml:space="preserve"> </v>
          </cell>
          <cell r="AH29" t="str">
            <v xml:space="preserve"> </v>
          </cell>
          <cell r="AI29" t="str">
            <v xml:space="preserve"> </v>
          </cell>
          <cell r="AJ29" t="str">
            <v xml:space="preserve"> </v>
          </cell>
          <cell r="AK29" t="str">
            <v xml:space="preserve"> </v>
          </cell>
          <cell r="AL29" t="str">
            <v xml:space="preserve"> </v>
          </cell>
          <cell r="AM29" t="str">
            <v xml:space="preserve"> </v>
          </cell>
          <cell r="AN29" t="str">
            <v xml:space="preserve"> </v>
          </cell>
          <cell r="AO29" t="str">
            <v xml:space="preserve"> </v>
          </cell>
        </row>
        <row r="30">
          <cell r="A30" t="str">
            <v xml:space="preserve"> </v>
          </cell>
          <cell r="B30" t="str">
            <v xml:space="preserve"> </v>
          </cell>
          <cell r="C30" t="str">
            <v xml:space="preserve"> </v>
          </cell>
          <cell r="D30" t="str">
            <v xml:space="preserve"> </v>
          </cell>
          <cell r="E30" t="str">
            <v xml:space="preserve"> </v>
          </cell>
          <cell r="F30" t="str">
            <v xml:space="preserve"> </v>
          </cell>
          <cell r="G30" t="str">
            <v xml:space="preserve"> </v>
          </cell>
          <cell r="H30" t="str">
            <v xml:space="preserve"> </v>
          </cell>
          <cell r="I30" t="str">
            <v xml:space="preserve"> 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 t="str">
            <v xml:space="preserve"> </v>
          </cell>
          <cell r="N30" t="str">
            <v xml:space="preserve"> </v>
          </cell>
          <cell r="O30" t="str">
            <v xml:space="preserve"> </v>
          </cell>
          <cell r="P30" t="str">
            <v xml:space="preserve"> </v>
          </cell>
          <cell r="Q30" t="str">
            <v xml:space="preserve"> </v>
          </cell>
          <cell r="R30" t="str">
            <v xml:space="preserve"> </v>
          </cell>
          <cell r="S30" t="str">
            <v xml:space="preserve"> </v>
          </cell>
          <cell r="T30" t="str">
            <v xml:space="preserve"> </v>
          </cell>
          <cell r="U30" t="str">
            <v xml:space="preserve"> </v>
          </cell>
          <cell r="V30" t="str">
            <v xml:space="preserve"> </v>
          </cell>
          <cell r="W30" t="str">
            <v xml:space="preserve"> </v>
          </cell>
          <cell r="X30" t="str">
            <v xml:space="preserve"> </v>
          </cell>
          <cell r="Y30" t="str">
            <v xml:space="preserve"> </v>
          </cell>
          <cell r="Z30" t="str">
            <v xml:space="preserve"> </v>
          </cell>
          <cell r="AA30" t="str">
            <v xml:space="preserve"> </v>
          </cell>
          <cell r="AB30" t="str">
            <v xml:space="preserve"> </v>
          </cell>
          <cell r="AC30" t="str">
            <v xml:space="preserve"> </v>
          </cell>
          <cell r="AD30" t="str">
            <v xml:space="preserve"> </v>
          </cell>
          <cell r="AE30" t="str">
            <v xml:space="preserve"> </v>
          </cell>
          <cell r="AF30" t="str">
            <v xml:space="preserve"> </v>
          </cell>
          <cell r="AG30" t="str">
            <v xml:space="preserve"> </v>
          </cell>
          <cell r="AH30" t="str">
            <v xml:space="preserve"> </v>
          </cell>
          <cell r="AI30" t="str">
            <v xml:space="preserve"> </v>
          </cell>
          <cell r="AJ30" t="str">
            <v xml:space="preserve"> </v>
          </cell>
          <cell r="AK30" t="str">
            <v xml:space="preserve"> </v>
          </cell>
          <cell r="AL30" t="str">
            <v xml:space="preserve"> </v>
          </cell>
          <cell r="AM30" t="str">
            <v xml:space="preserve"> </v>
          </cell>
          <cell r="AN30" t="str">
            <v xml:space="preserve"> </v>
          </cell>
          <cell r="AO30" t="str">
            <v xml:space="preserve"> </v>
          </cell>
        </row>
        <row r="31">
          <cell r="A31" t="str">
            <v>Population</v>
          </cell>
          <cell r="B31" t="str">
            <v xml:space="preserve"> </v>
          </cell>
          <cell r="C31" t="str">
            <v xml:space="preserve"> </v>
          </cell>
          <cell r="D31" t="str">
            <v xml:space="preserve"> </v>
          </cell>
          <cell r="E31" t="str">
            <v xml:space="preserve"> </v>
          </cell>
          <cell r="F31" t="str">
            <v xml:space="preserve"> </v>
          </cell>
          <cell r="G31" t="str">
            <v xml:space="preserve"> </v>
          </cell>
          <cell r="H31" t="str">
            <v xml:space="preserve"> </v>
          </cell>
          <cell r="I31" t="str">
            <v xml:space="preserve"> 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 t="str">
            <v xml:space="preserve"> </v>
          </cell>
          <cell r="N31" t="str">
            <v xml:space="preserve"> </v>
          </cell>
          <cell r="O31" t="str">
            <v xml:space="preserve"> </v>
          </cell>
          <cell r="P31" t="str">
            <v xml:space="preserve"> </v>
          </cell>
          <cell r="Q31" t="str">
            <v xml:space="preserve"> </v>
          </cell>
          <cell r="R31" t="str">
            <v xml:space="preserve"> </v>
          </cell>
          <cell r="S31" t="str">
            <v xml:space="preserve"> </v>
          </cell>
          <cell r="T31" t="str">
            <v xml:space="preserve"> </v>
          </cell>
          <cell r="U31" t="str">
            <v xml:space="preserve"> </v>
          </cell>
          <cell r="V31" t="str">
            <v xml:space="preserve"> </v>
          </cell>
          <cell r="W31" t="str">
            <v xml:space="preserve"> </v>
          </cell>
          <cell r="X31" t="str">
            <v xml:space="preserve"> </v>
          </cell>
          <cell r="Y31" t="str">
            <v xml:space="preserve"> </v>
          </cell>
          <cell r="Z31" t="str">
            <v xml:space="preserve"> </v>
          </cell>
          <cell r="AA31" t="str">
            <v xml:space="preserve"> </v>
          </cell>
          <cell r="AB31" t="str">
            <v xml:space="preserve"> </v>
          </cell>
          <cell r="AC31" t="str">
            <v xml:space="preserve"> </v>
          </cell>
          <cell r="AD31" t="str">
            <v xml:space="preserve"> </v>
          </cell>
          <cell r="AE31" t="str">
            <v xml:space="preserve"> </v>
          </cell>
          <cell r="AF31" t="str">
            <v xml:space="preserve"> </v>
          </cell>
          <cell r="AG31" t="str">
            <v xml:space="preserve"> </v>
          </cell>
          <cell r="AH31" t="str">
            <v xml:space="preserve"> </v>
          </cell>
          <cell r="AI31" t="str">
            <v xml:space="preserve"> </v>
          </cell>
          <cell r="AJ31" t="str">
            <v xml:space="preserve"> </v>
          </cell>
          <cell r="AK31" t="str">
            <v xml:space="preserve"> </v>
          </cell>
          <cell r="AL31" t="str">
            <v xml:space="preserve"> </v>
          </cell>
          <cell r="AM31" t="str">
            <v xml:space="preserve"> </v>
          </cell>
          <cell r="AN31" t="str">
            <v xml:space="preserve"> </v>
          </cell>
          <cell r="AO31" t="str">
            <v xml:space="preserve"> </v>
          </cell>
        </row>
        <row r="32">
          <cell r="A32" t="str">
            <v>16M</v>
          </cell>
          <cell r="B32" t="str">
            <v xml:space="preserve"> </v>
          </cell>
          <cell r="C32">
            <v>318</v>
          </cell>
          <cell r="D32">
            <v>318</v>
          </cell>
          <cell r="E32">
            <v>318</v>
          </cell>
          <cell r="F32">
            <v>318</v>
          </cell>
          <cell r="G32">
            <v>318</v>
          </cell>
          <cell r="H32">
            <v>318</v>
          </cell>
          <cell r="I32">
            <v>366</v>
          </cell>
          <cell r="J32">
            <v>366</v>
          </cell>
          <cell r="K32">
            <v>366</v>
          </cell>
          <cell r="L32">
            <v>418</v>
          </cell>
          <cell r="M32">
            <v>418</v>
          </cell>
          <cell r="N32">
            <v>418</v>
          </cell>
          <cell r="O32">
            <v>418</v>
          </cell>
          <cell r="P32">
            <v>480</v>
          </cell>
          <cell r="Q32">
            <v>480</v>
          </cell>
          <cell r="R32">
            <v>480</v>
          </cell>
          <cell r="S32">
            <v>480</v>
          </cell>
          <cell r="T32">
            <v>480</v>
          </cell>
          <cell r="U32">
            <v>480</v>
          </cell>
          <cell r="V32">
            <v>480</v>
          </cell>
          <cell r="W32">
            <v>480</v>
          </cell>
          <cell r="X32">
            <v>480</v>
          </cell>
          <cell r="Y32">
            <v>480</v>
          </cell>
          <cell r="Z32">
            <v>480</v>
          </cell>
          <cell r="AA32">
            <v>480</v>
          </cell>
          <cell r="AB32">
            <v>480</v>
          </cell>
          <cell r="AC32">
            <v>480</v>
          </cell>
          <cell r="AD32">
            <v>480</v>
          </cell>
          <cell r="AE32">
            <v>480</v>
          </cell>
          <cell r="AF32">
            <v>480</v>
          </cell>
          <cell r="AG32">
            <v>480</v>
          </cell>
          <cell r="AH32">
            <v>480</v>
          </cell>
          <cell r="AI32">
            <v>480</v>
          </cell>
          <cell r="AJ32">
            <v>480</v>
          </cell>
          <cell r="AK32">
            <v>480</v>
          </cell>
          <cell r="AL32">
            <v>480</v>
          </cell>
          <cell r="AM32">
            <v>480</v>
          </cell>
          <cell r="AN32">
            <v>480</v>
          </cell>
          <cell r="AO32">
            <v>480</v>
          </cell>
        </row>
        <row r="33">
          <cell r="A33" t="str">
            <v>64M</v>
          </cell>
          <cell r="B33" t="str">
            <v xml:space="preserve"> </v>
          </cell>
          <cell r="C33" t="str">
            <v xml:space="preserve"> </v>
          </cell>
          <cell r="D33" t="str">
            <v xml:space="preserve"> </v>
          </cell>
          <cell r="E33" t="str">
            <v xml:space="preserve"> </v>
          </cell>
          <cell r="F33" t="str">
            <v xml:space="preserve"> </v>
          </cell>
          <cell r="G33" t="str">
            <v xml:space="preserve"> </v>
          </cell>
          <cell r="H33">
            <v>146</v>
          </cell>
          <cell r="I33">
            <v>146</v>
          </cell>
          <cell r="J33">
            <v>146</v>
          </cell>
          <cell r="K33">
            <v>146</v>
          </cell>
          <cell r="L33">
            <v>146</v>
          </cell>
          <cell r="M33">
            <v>146</v>
          </cell>
          <cell r="N33">
            <v>146</v>
          </cell>
          <cell r="O33">
            <v>146</v>
          </cell>
          <cell r="P33">
            <v>164</v>
          </cell>
          <cell r="Q33">
            <v>164</v>
          </cell>
          <cell r="R33">
            <v>164</v>
          </cell>
          <cell r="S33">
            <v>164</v>
          </cell>
          <cell r="T33">
            <v>185</v>
          </cell>
          <cell r="U33">
            <v>185</v>
          </cell>
          <cell r="V33">
            <v>185</v>
          </cell>
          <cell r="W33">
            <v>185</v>
          </cell>
          <cell r="X33">
            <v>210</v>
          </cell>
          <cell r="Y33">
            <v>210</v>
          </cell>
          <cell r="Z33">
            <v>210</v>
          </cell>
          <cell r="AA33">
            <v>210</v>
          </cell>
          <cell r="AB33">
            <v>240</v>
          </cell>
          <cell r="AC33">
            <v>240</v>
          </cell>
          <cell r="AD33">
            <v>240</v>
          </cell>
          <cell r="AE33">
            <v>240</v>
          </cell>
          <cell r="AF33">
            <v>270</v>
          </cell>
          <cell r="AG33">
            <v>270</v>
          </cell>
          <cell r="AH33">
            <v>270</v>
          </cell>
          <cell r="AI33">
            <v>270</v>
          </cell>
          <cell r="AJ33">
            <v>270</v>
          </cell>
          <cell r="AK33">
            <v>270</v>
          </cell>
          <cell r="AL33">
            <v>270</v>
          </cell>
          <cell r="AM33">
            <v>270</v>
          </cell>
          <cell r="AN33">
            <v>270</v>
          </cell>
          <cell r="AO33">
            <v>270</v>
          </cell>
        </row>
        <row r="34">
          <cell r="A34" t="str">
            <v xml:space="preserve"> </v>
          </cell>
          <cell r="B34" t="str">
            <v xml:space="preserve"> </v>
          </cell>
          <cell r="C34" t="str">
            <v xml:space="preserve"> </v>
          </cell>
          <cell r="D34" t="str">
            <v xml:space="preserve"> </v>
          </cell>
          <cell r="E34" t="str">
            <v xml:space="preserve"> </v>
          </cell>
          <cell r="F34" t="str">
            <v xml:space="preserve"> </v>
          </cell>
          <cell r="G34" t="str">
            <v xml:space="preserve"> </v>
          </cell>
          <cell r="H34" t="str">
            <v xml:space="preserve"> </v>
          </cell>
          <cell r="I34" t="str">
            <v xml:space="preserve"> </v>
          </cell>
          <cell r="J34" t="str">
            <v xml:space="preserve"> </v>
          </cell>
          <cell r="K34" t="str">
            <v xml:space="preserve"> </v>
          </cell>
          <cell r="L34" t="str">
            <v xml:space="preserve"> </v>
          </cell>
          <cell r="M34" t="str">
            <v xml:space="preserve"> </v>
          </cell>
          <cell r="N34" t="str">
            <v xml:space="preserve"> </v>
          </cell>
          <cell r="O34" t="str">
            <v xml:space="preserve"> </v>
          </cell>
          <cell r="P34" t="str">
            <v xml:space="preserve"> </v>
          </cell>
          <cell r="Q34" t="str">
            <v xml:space="preserve"> </v>
          </cell>
          <cell r="R34" t="str">
            <v xml:space="preserve"> </v>
          </cell>
          <cell r="S34" t="str">
            <v xml:space="preserve"> </v>
          </cell>
          <cell r="T34" t="str">
            <v xml:space="preserve"> </v>
          </cell>
          <cell r="U34" t="str">
            <v xml:space="preserve"> </v>
          </cell>
          <cell r="V34" t="str">
            <v xml:space="preserve"> </v>
          </cell>
          <cell r="W34" t="str">
            <v xml:space="preserve"> </v>
          </cell>
          <cell r="X34" t="str">
            <v xml:space="preserve"> </v>
          </cell>
          <cell r="Y34" t="str">
            <v xml:space="preserve"> </v>
          </cell>
          <cell r="Z34" t="str">
            <v xml:space="preserve"> </v>
          </cell>
          <cell r="AA34" t="str">
            <v xml:space="preserve"> </v>
          </cell>
          <cell r="AB34" t="str">
            <v xml:space="preserve"> </v>
          </cell>
          <cell r="AC34" t="str">
            <v xml:space="preserve"> </v>
          </cell>
          <cell r="AD34" t="str">
            <v xml:space="preserve"> </v>
          </cell>
          <cell r="AE34" t="str">
            <v xml:space="preserve"> </v>
          </cell>
          <cell r="AF34" t="str">
            <v xml:space="preserve"> </v>
          </cell>
          <cell r="AG34" t="str">
            <v xml:space="preserve"> </v>
          </cell>
          <cell r="AH34" t="str">
            <v xml:space="preserve"> </v>
          </cell>
          <cell r="AI34" t="str">
            <v xml:space="preserve"> </v>
          </cell>
          <cell r="AJ34" t="str">
            <v xml:space="preserve"> </v>
          </cell>
          <cell r="AK34" t="str">
            <v xml:space="preserve"> </v>
          </cell>
          <cell r="AL34" t="str">
            <v xml:space="preserve"> </v>
          </cell>
          <cell r="AM34" t="str">
            <v xml:space="preserve"> </v>
          </cell>
          <cell r="AN34" t="str">
            <v xml:space="preserve"> </v>
          </cell>
          <cell r="AO34" t="str">
            <v xml:space="preserve"> </v>
          </cell>
        </row>
        <row r="35">
          <cell r="A35" t="str">
            <v xml:space="preserve"> </v>
          </cell>
          <cell r="B35" t="str">
            <v xml:space="preserve"> </v>
          </cell>
          <cell r="C35" t="str">
            <v xml:space="preserve"> </v>
          </cell>
          <cell r="D35" t="str">
            <v xml:space="preserve"> </v>
          </cell>
          <cell r="E35" t="str">
            <v xml:space="preserve"> </v>
          </cell>
          <cell r="F35" t="str">
            <v xml:space="preserve"> </v>
          </cell>
          <cell r="G35" t="str">
            <v xml:space="preserve"> </v>
          </cell>
          <cell r="H35" t="str">
            <v xml:space="preserve"> </v>
          </cell>
          <cell r="I35" t="str">
            <v xml:space="preserve"> </v>
          </cell>
          <cell r="J35" t="str">
            <v xml:space="preserve"> </v>
          </cell>
          <cell r="K35" t="str">
            <v xml:space="preserve"> </v>
          </cell>
          <cell r="L35" t="str">
            <v xml:space="preserve"> </v>
          </cell>
          <cell r="M35" t="str">
            <v xml:space="preserve"> </v>
          </cell>
          <cell r="N35" t="str">
            <v xml:space="preserve"> </v>
          </cell>
          <cell r="O35" t="str">
            <v xml:space="preserve"> </v>
          </cell>
          <cell r="P35" t="str">
            <v xml:space="preserve"> </v>
          </cell>
          <cell r="Q35" t="str">
            <v xml:space="preserve"> </v>
          </cell>
          <cell r="R35" t="str">
            <v xml:space="preserve"> </v>
          </cell>
          <cell r="S35" t="str">
            <v xml:space="preserve"> </v>
          </cell>
          <cell r="T35" t="str">
            <v xml:space="preserve"> </v>
          </cell>
          <cell r="U35" t="str">
            <v xml:space="preserve"> </v>
          </cell>
          <cell r="V35" t="str">
            <v xml:space="preserve"> </v>
          </cell>
          <cell r="W35" t="str">
            <v xml:space="preserve"> </v>
          </cell>
          <cell r="X35" t="str">
            <v xml:space="preserve"> </v>
          </cell>
          <cell r="Y35" t="str">
            <v xml:space="preserve"> </v>
          </cell>
          <cell r="Z35" t="str">
            <v xml:space="preserve"> </v>
          </cell>
          <cell r="AA35" t="str">
            <v xml:space="preserve"> </v>
          </cell>
          <cell r="AB35" t="str">
            <v xml:space="preserve"> </v>
          </cell>
          <cell r="AC35" t="str">
            <v xml:space="preserve"> </v>
          </cell>
          <cell r="AD35" t="str">
            <v xml:space="preserve"> </v>
          </cell>
          <cell r="AE35" t="str">
            <v xml:space="preserve"> </v>
          </cell>
          <cell r="AF35" t="str">
            <v xml:space="preserve"> </v>
          </cell>
          <cell r="AG35" t="str">
            <v xml:space="preserve"> </v>
          </cell>
          <cell r="AH35" t="str">
            <v xml:space="preserve"> </v>
          </cell>
          <cell r="AI35" t="str">
            <v xml:space="preserve"> </v>
          </cell>
          <cell r="AJ35" t="str">
            <v xml:space="preserve"> </v>
          </cell>
          <cell r="AK35" t="str">
            <v xml:space="preserve"> </v>
          </cell>
          <cell r="AL35" t="str">
            <v xml:space="preserve"> </v>
          </cell>
          <cell r="AM35" t="str">
            <v xml:space="preserve"> </v>
          </cell>
          <cell r="AN35" t="str">
            <v xml:space="preserve"> </v>
          </cell>
          <cell r="AO35" t="str">
            <v xml:space="preserve"> </v>
          </cell>
        </row>
        <row r="36">
          <cell r="A36" t="str">
            <v>Ausbeuten</v>
          </cell>
          <cell r="B36" t="str">
            <v xml:space="preserve"> </v>
          </cell>
          <cell r="C36" t="str">
            <v xml:space="preserve"> </v>
          </cell>
          <cell r="D36" t="str">
            <v xml:space="preserve"> </v>
          </cell>
          <cell r="E36" t="str">
            <v xml:space="preserve"> </v>
          </cell>
          <cell r="F36" t="str">
            <v xml:space="preserve"> </v>
          </cell>
          <cell r="G36" t="str">
            <v xml:space="preserve"> </v>
          </cell>
          <cell r="H36" t="str">
            <v xml:space="preserve"> </v>
          </cell>
          <cell r="I36" t="str">
            <v xml:space="preserve"> </v>
          </cell>
          <cell r="J36" t="str">
            <v xml:space="preserve"> </v>
          </cell>
          <cell r="K36" t="str">
            <v xml:space="preserve"> </v>
          </cell>
          <cell r="L36" t="str">
            <v xml:space="preserve"> </v>
          </cell>
          <cell r="M36" t="str">
            <v xml:space="preserve"> </v>
          </cell>
          <cell r="N36" t="str">
            <v xml:space="preserve"> </v>
          </cell>
          <cell r="O36" t="str">
            <v xml:space="preserve"> </v>
          </cell>
          <cell r="P36" t="str">
            <v xml:space="preserve"> </v>
          </cell>
          <cell r="Q36" t="str">
            <v xml:space="preserve"> </v>
          </cell>
          <cell r="R36" t="str">
            <v xml:space="preserve"> </v>
          </cell>
          <cell r="S36" t="str">
            <v xml:space="preserve"> </v>
          </cell>
          <cell r="T36" t="str">
            <v xml:space="preserve"> </v>
          </cell>
          <cell r="U36" t="str">
            <v xml:space="preserve"> </v>
          </cell>
          <cell r="V36" t="str">
            <v xml:space="preserve"> </v>
          </cell>
          <cell r="W36" t="str">
            <v xml:space="preserve"> </v>
          </cell>
          <cell r="X36" t="str">
            <v xml:space="preserve"> </v>
          </cell>
          <cell r="Y36" t="str">
            <v xml:space="preserve"> </v>
          </cell>
          <cell r="Z36" t="str">
            <v xml:space="preserve"> </v>
          </cell>
          <cell r="AA36" t="str">
            <v xml:space="preserve"> </v>
          </cell>
          <cell r="AB36" t="str">
            <v xml:space="preserve"> </v>
          </cell>
          <cell r="AC36" t="str">
            <v xml:space="preserve"> </v>
          </cell>
          <cell r="AD36" t="str">
            <v xml:space="preserve"> </v>
          </cell>
          <cell r="AE36" t="str">
            <v xml:space="preserve"> </v>
          </cell>
          <cell r="AF36" t="str">
            <v xml:space="preserve"> </v>
          </cell>
          <cell r="AG36" t="str">
            <v xml:space="preserve"> </v>
          </cell>
          <cell r="AH36" t="str">
            <v xml:space="preserve"> </v>
          </cell>
          <cell r="AI36" t="str">
            <v xml:space="preserve"> </v>
          </cell>
          <cell r="AJ36" t="str">
            <v xml:space="preserve"> </v>
          </cell>
          <cell r="AK36" t="str">
            <v xml:space="preserve"> </v>
          </cell>
          <cell r="AL36" t="str">
            <v xml:space="preserve"> </v>
          </cell>
          <cell r="AM36" t="str">
            <v xml:space="preserve"> </v>
          </cell>
          <cell r="AN36" t="str">
            <v xml:space="preserve"> </v>
          </cell>
          <cell r="AO36" t="str">
            <v xml:space="preserve"> </v>
          </cell>
        </row>
        <row r="37">
          <cell r="A37" t="str">
            <v>16M Modul 1 YF</v>
          </cell>
          <cell r="B37" t="str">
            <v xml:space="preserve"> </v>
          </cell>
          <cell r="C37">
            <v>0.4</v>
          </cell>
          <cell r="D37">
            <v>0.6</v>
          </cell>
          <cell r="E37">
            <v>0.75</v>
          </cell>
          <cell r="F37">
            <v>0.8</v>
          </cell>
          <cell r="G37">
            <v>0.85</v>
          </cell>
          <cell r="H37">
            <v>0.88</v>
          </cell>
          <cell r="I37">
            <v>0.92</v>
          </cell>
          <cell r="J37">
            <v>0.94</v>
          </cell>
          <cell r="K37">
            <v>0.95</v>
          </cell>
          <cell r="L37">
            <v>0.95</v>
          </cell>
          <cell r="M37">
            <v>0.95</v>
          </cell>
          <cell r="N37">
            <v>0.95</v>
          </cell>
          <cell r="O37">
            <v>0.95</v>
          </cell>
          <cell r="P37">
            <v>0.95</v>
          </cell>
          <cell r="Q37">
            <v>0.95</v>
          </cell>
          <cell r="R37">
            <v>0.9</v>
          </cell>
          <cell r="S37">
            <v>0.9</v>
          </cell>
          <cell r="T37">
            <v>0.9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  <cell r="Z37" t="str">
            <v xml:space="preserve"> </v>
          </cell>
          <cell r="AA37" t="str">
            <v xml:space="preserve"> </v>
          </cell>
          <cell r="AB37" t="str">
            <v xml:space="preserve"> </v>
          </cell>
          <cell r="AC37" t="str">
            <v xml:space="preserve"> </v>
          </cell>
          <cell r="AD37" t="str">
            <v xml:space="preserve"> </v>
          </cell>
          <cell r="AE37" t="str">
            <v xml:space="preserve"> </v>
          </cell>
          <cell r="AF37" t="str">
            <v xml:space="preserve"> </v>
          </cell>
          <cell r="AG37" t="str">
            <v xml:space="preserve"> </v>
          </cell>
          <cell r="AH37" t="str">
            <v xml:space="preserve"> </v>
          </cell>
          <cell r="AI37" t="str">
            <v xml:space="preserve"> </v>
          </cell>
          <cell r="AJ37" t="str">
            <v xml:space="preserve"> </v>
          </cell>
          <cell r="AK37" t="str">
            <v xml:space="preserve"> </v>
          </cell>
          <cell r="AL37" t="str">
            <v xml:space="preserve"> </v>
          </cell>
          <cell r="AM37" t="str">
            <v xml:space="preserve"> </v>
          </cell>
          <cell r="AN37" t="str">
            <v xml:space="preserve"> </v>
          </cell>
          <cell r="AO37" t="str">
            <v xml:space="preserve"> </v>
          </cell>
        </row>
        <row r="38">
          <cell r="A38" t="str">
            <v>16M Modul 2 YF</v>
          </cell>
          <cell r="B38" t="str">
            <v xml:space="preserve"> </v>
          </cell>
          <cell r="C38" t="str">
            <v xml:space="preserve"> </v>
          </cell>
          <cell r="D38" t="str">
            <v xml:space="preserve"> </v>
          </cell>
          <cell r="E38">
            <v>0.6</v>
          </cell>
          <cell r="F38">
            <v>0.75</v>
          </cell>
          <cell r="G38">
            <v>0.85</v>
          </cell>
          <cell r="H38">
            <v>0.85</v>
          </cell>
          <cell r="I38">
            <v>0.85</v>
          </cell>
          <cell r="J38">
            <v>0.85</v>
          </cell>
          <cell r="K38">
            <v>0.85</v>
          </cell>
          <cell r="L38">
            <v>0.8</v>
          </cell>
          <cell r="M38">
            <v>0.8</v>
          </cell>
          <cell r="N38">
            <v>0.8</v>
          </cell>
          <cell r="O38">
            <v>0.8</v>
          </cell>
          <cell r="P38">
            <v>0.8</v>
          </cell>
          <cell r="Q38">
            <v>0.8</v>
          </cell>
          <cell r="R38" t="str">
            <v xml:space="preserve"> 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  <cell r="Z38" t="str">
            <v xml:space="preserve"> </v>
          </cell>
          <cell r="AA38" t="str">
            <v xml:space="preserve"> </v>
          </cell>
          <cell r="AB38" t="str">
            <v xml:space="preserve"> </v>
          </cell>
          <cell r="AC38" t="str">
            <v xml:space="preserve"> </v>
          </cell>
          <cell r="AD38" t="str">
            <v xml:space="preserve"> </v>
          </cell>
          <cell r="AE38" t="str">
            <v xml:space="preserve"> </v>
          </cell>
          <cell r="AF38" t="str">
            <v xml:space="preserve"> </v>
          </cell>
          <cell r="AG38" t="str">
            <v xml:space="preserve"> </v>
          </cell>
          <cell r="AH38" t="str">
            <v xml:space="preserve"> </v>
          </cell>
          <cell r="AI38" t="str">
            <v xml:space="preserve"> </v>
          </cell>
          <cell r="AJ38" t="str">
            <v xml:space="preserve"> </v>
          </cell>
          <cell r="AK38" t="str">
            <v xml:space="preserve"> </v>
          </cell>
          <cell r="AL38" t="str">
            <v xml:space="preserve"> </v>
          </cell>
          <cell r="AM38" t="str">
            <v xml:space="preserve"> </v>
          </cell>
          <cell r="AN38" t="str">
            <v xml:space="preserve"> </v>
          </cell>
          <cell r="AO38" t="str">
            <v xml:space="preserve"> </v>
          </cell>
        </row>
        <row r="39">
          <cell r="A39" t="str">
            <v>16M   YF</v>
          </cell>
          <cell r="B39" t="str">
            <v xml:space="preserve"> </v>
          </cell>
          <cell r="C39">
            <v>0.4</v>
          </cell>
          <cell r="D39">
            <v>0.6</v>
          </cell>
          <cell r="E39">
            <v>0.71818181818181814</v>
          </cell>
          <cell r="F39">
            <v>0.78378378378378377</v>
          </cell>
          <cell r="G39">
            <v>0.85</v>
          </cell>
          <cell r="H39">
            <v>0.87106382978723407</v>
          </cell>
          <cell r="I39">
            <v>0.89861111111111114</v>
          </cell>
          <cell r="J39">
            <v>0.90932203389830513</v>
          </cell>
          <cell r="K39">
            <v>0.92157464212678941</v>
          </cell>
          <cell r="L39">
            <v>0.91744966442953024</v>
          </cell>
          <cell r="M39">
            <v>0.92962962962962958</v>
          </cell>
          <cell r="N39">
            <v>0.94788732394366193</v>
          </cell>
          <cell r="O39">
            <v>0.95</v>
          </cell>
          <cell r="P39">
            <v>0.95</v>
          </cell>
          <cell r="Q39">
            <v>0.95</v>
          </cell>
          <cell r="R39">
            <v>0.95</v>
          </cell>
          <cell r="S39">
            <v>0.95</v>
          </cell>
          <cell r="T39">
            <v>0.95</v>
          </cell>
          <cell r="U39">
            <v>0.95</v>
          </cell>
          <cell r="V39">
            <v>0.95</v>
          </cell>
          <cell r="W39">
            <v>0.95</v>
          </cell>
          <cell r="X39">
            <v>0.95</v>
          </cell>
          <cell r="Y39">
            <v>0.95</v>
          </cell>
          <cell r="Z39">
            <v>0.95</v>
          </cell>
          <cell r="AA39">
            <v>0.95</v>
          </cell>
          <cell r="AB39">
            <v>0.95</v>
          </cell>
          <cell r="AC39">
            <v>0.95</v>
          </cell>
          <cell r="AD39">
            <v>0.95</v>
          </cell>
          <cell r="AE39">
            <v>0.95</v>
          </cell>
          <cell r="AF39">
            <v>0.95</v>
          </cell>
          <cell r="AG39">
            <v>0.95</v>
          </cell>
          <cell r="AH39">
            <v>0.95</v>
          </cell>
          <cell r="AI39">
            <v>0.95</v>
          </cell>
          <cell r="AJ39">
            <v>0.95</v>
          </cell>
          <cell r="AK39">
            <v>0.95</v>
          </cell>
          <cell r="AL39">
            <v>0.95</v>
          </cell>
          <cell r="AM39">
            <v>0.95</v>
          </cell>
          <cell r="AN39">
            <v>0.95</v>
          </cell>
          <cell r="AO39">
            <v>0.95</v>
          </cell>
        </row>
        <row r="40">
          <cell r="A40" t="str">
            <v>64M   YF</v>
          </cell>
          <cell r="B40" t="str">
            <v xml:space="preserve"> </v>
          </cell>
          <cell r="C40" t="str">
            <v xml:space="preserve"> </v>
          </cell>
          <cell r="D40" t="str">
            <v xml:space="preserve"> </v>
          </cell>
          <cell r="E40" t="str">
            <v xml:space="preserve"> </v>
          </cell>
          <cell r="F40" t="str">
            <v xml:space="preserve"> </v>
          </cell>
          <cell r="G40" t="str">
            <v xml:space="preserve"> </v>
          </cell>
          <cell r="H40" t="str">
            <v xml:space="preserve"> </v>
          </cell>
          <cell r="I40" t="str">
            <v xml:space="preserve"> </v>
          </cell>
          <cell r="J40" t="str">
            <v xml:space="preserve"> </v>
          </cell>
          <cell r="K40" t="str">
            <v xml:space="preserve"> </v>
          </cell>
          <cell r="L40">
            <v>0.6</v>
          </cell>
          <cell r="M40">
            <v>0.7</v>
          </cell>
          <cell r="N40">
            <v>0.8</v>
          </cell>
          <cell r="O40">
            <v>0.8</v>
          </cell>
          <cell r="P40">
            <v>0.85</v>
          </cell>
          <cell r="Q40">
            <v>0.88</v>
          </cell>
          <cell r="R40">
            <v>0.92</v>
          </cell>
          <cell r="S40">
            <v>0.93</v>
          </cell>
          <cell r="T40">
            <v>0.93</v>
          </cell>
          <cell r="U40">
            <v>0.92910662824207491</v>
          </cell>
          <cell r="V40">
            <v>0.94127764127764124</v>
          </cell>
          <cell r="W40">
            <v>0.94522522522522523</v>
          </cell>
          <cell r="X40">
            <v>0.95135902636916836</v>
          </cell>
          <cell r="Y40">
            <v>0.96</v>
          </cell>
          <cell r="Z40">
            <v>0.96</v>
          </cell>
          <cell r="AA40">
            <v>0.96</v>
          </cell>
          <cell r="AB40">
            <v>0.96</v>
          </cell>
          <cell r="AC40">
            <v>0.96</v>
          </cell>
          <cell r="AD40">
            <v>0.96</v>
          </cell>
          <cell r="AE40">
            <v>0.96</v>
          </cell>
          <cell r="AF40">
            <v>0.96</v>
          </cell>
          <cell r="AG40">
            <v>0.96</v>
          </cell>
          <cell r="AH40">
            <v>0.96</v>
          </cell>
          <cell r="AI40">
            <v>0.96</v>
          </cell>
          <cell r="AJ40">
            <v>0.96</v>
          </cell>
          <cell r="AK40">
            <v>0.96</v>
          </cell>
          <cell r="AL40">
            <v>0.96</v>
          </cell>
          <cell r="AM40">
            <v>0.96</v>
          </cell>
          <cell r="AN40">
            <v>0.96</v>
          </cell>
          <cell r="AO40">
            <v>0.96</v>
          </cell>
        </row>
        <row r="42">
          <cell r="A42" t="str">
            <v>16M   YB</v>
          </cell>
          <cell r="B42" t="str">
            <v xml:space="preserve"> </v>
          </cell>
          <cell r="C42">
            <v>0.25</v>
          </cell>
          <cell r="D42">
            <v>0.53</v>
          </cell>
          <cell r="E42">
            <v>0.67878787878787883</v>
          </cell>
          <cell r="F42">
            <v>0.81054054054054059</v>
          </cell>
          <cell r="G42">
            <v>0.83681818181818179</v>
          </cell>
          <cell r="H42">
            <v>0.84702127659574467</v>
          </cell>
          <cell r="I42">
            <v>0.87</v>
          </cell>
          <cell r="J42">
            <v>0.89</v>
          </cell>
          <cell r="K42">
            <v>0.90431492842535788</v>
          </cell>
          <cell r="L42">
            <v>0.89914988814317676</v>
          </cell>
          <cell r="M42">
            <v>0.90320987654320983</v>
          </cell>
          <cell r="N42">
            <v>0.90859154929577468</v>
          </cell>
          <cell r="O42">
            <v>0.91</v>
          </cell>
          <cell r="P42">
            <v>0.91</v>
          </cell>
          <cell r="Q42">
            <v>0.91</v>
          </cell>
          <cell r="R42">
            <v>0.91</v>
          </cell>
          <cell r="S42">
            <v>0.91</v>
          </cell>
          <cell r="T42">
            <v>0.91</v>
          </cell>
          <cell r="U42">
            <v>0.91</v>
          </cell>
          <cell r="V42">
            <v>0.91</v>
          </cell>
          <cell r="W42">
            <v>0.91</v>
          </cell>
          <cell r="X42">
            <v>0.91</v>
          </cell>
          <cell r="Y42">
            <v>0.91</v>
          </cell>
          <cell r="Z42">
            <v>0.91</v>
          </cell>
          <cell r="AA42">
            <v>0.91</v>
          </cell>
          <cell r="AB42">
            <v>0.91</v>
          </cell>
          <cell r="AC42">
            <v>0.91</v>
          </cell>
          <cell r="AD42">
            <v>0.91</v>
          </cell>
          <cell r="AE42">
            <v>0.91</v>
          </cell>
          <cell r="AF42">
            <v>0.91</v>
          </cell>
          <cell r="AG42">
            <v>0.91</v>
          </cell>
          <cell r="AH42">
            <v>0.91</v>
          </cell>
          <cell r="AI42">
            <v>0.91</v>
          </cell>
          <cell r="AJ42">
            <v>0.91</v>
          </cell>
          <cell r="AK42">
            <v>0.91</v>
          </cell>
          <cell r="AL42">
            <v>0.91</v>
          </cell>
          <cell r="AM42">
            <v>0.91</v>
          </cell>
          <cell r="AN42">
            <v>0.91</v>
          </cell>
          <cell r="AO42">
            <v>0.91</v>
          </cell>
        </row>
        <row r="43">
          <cell r="A43" t="str">
            <v>64M   YB</v>
          </cell>
          <cell r="B43" t="str">
            <v xml:space="preserve"> </v>
          </cell>
          <cell r="C43" t="str">
            <v xml:space="preserve"> </v>
          </cell>
          <cell r="D43" t="str">
            <v xml:space="preserve"> </v>
          </cell>
          <cell r="E43" t="str">
            <v xml:space="preserve"> </v>
          </cell>
          <cell r="F43" t="str">
            <v xml:space="preserve"> </v>
          </cell>
          <cell r="G43" t="str">
            <v xml:space="preserve"> </v>
          </cell>
          <cell r="H43" t="str">
            <v xml:space="preserve"> </v>
          </cell>
          <cell r="I43" t="str">
            <v xml:space="preserve"> </v>
          </cell>
          <cell r="J43" t="str">
            <v xml:space="preserve"> </v>
          </cell>
          <cell r="K43" t="str">
            <v xml:space="preserve"> </v>
          </cell>
          <cell r="L43" t="str">
            <v xml:space="preserve"> </v>
          </cell>
          <cell r="M43" t="str">
            <v xml:space="preserve"> </v>
          </cell>
          <cell r="N43" t="str">
            <v xml:space="preserve"> </v>
          </cell>
          <cell r="O43" t="str">
            <v xml:space="preserve"> </v>
          </cell>
          <cell r="P43" t="str">
            <v xml:space="preserve"> </v>
          </cell>
          <cell r="Q43" t="str">
            <v xml:space="preserve"> 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  <cell r="Z43" t="str">
            <v xml:space="preserve"> </v>
          </cell>
          <cell r="AA43" t="str">
            <v xml:space="preserve"> </v>
          </cell>
          <cell r="AB43" t="str">
            <v xml:space="preserve"> </v>
          </cell>
          <cell r="AC43" t="str">
            <v xml:space="preserve"> </v>
          </cell>
          <cell r="AD43" t="str">
            <v xml:space="preserve"> </v>
          </cell>
          <cell r="AE43" t="str">
            <v xml:space="preserve"> </v>
          </cell>
          <cell r="AF43" t="str">
            <v xml:space="preserve"> </v>
          </cell>
          <cell r="AG43" t="str">
            <v xml:space="preserve"> </v>
          </cell>
          <cell r="AH43" t="str">
            <v xml:space="preserve"> </v>
          </cell>
          <cell r="AI43" t="str">
            <v xml:space="preserve"> </v>
          </cell>
          <cell r="AJ43" t="str">
            <v xml:space="preserve"> </v>
          </cell>
          <cell r="AK43" t="str">
            <v xml:space="preserve"> </v>
          </cell>
          <cell r="AL43" t="str">
            <v xml:space="preserve"> </v>
          </cell>
          <cell r="AM43" t="str">
            <v xml:space="preserve"> </v>
          </cell>
          <cell r="AN43" t="str">
            <v xml:space="preserve"> </v>
          </cell>
          <cell r="AO43" t="str">
            <v xml:space="preserve"> </v>
          </cell>
        </row>
        <row r="44">
          <cell r="A44" t="str">
            <v>16M   YFB</v>
          </cell>
          <cell r="B44" t="str">
            <v xml:space="preserve"> </v>
          </cell>
          <cell r="C44">
            <v>0.8</v>
          </cell>
          <cell r="D44">
            <v>0.94339622641509424</v>
          </cell>
          <cell r="E44">
            <v>0.97589285714285712</v>
          </cell>
          <cell r="F44">
            <v>0.98766255418472826</v>
          </cell>
          <cell r="G44">
            <v>0.98804997284084739</v>
          </cell>
          <cell r="H44">
            <v>0.98819392112534543</v>
          </cell>
          <cell r="I44">
            <v>0.98850574712643668</v>
          </cell>
          <cell r="J44">
            <v>0.9887640449438202</v>
          </cell>
          <cell r="K44">
            <v>0.98894190542954707</v>
          </cell>
          <cell r="L44">
            <v>0.98887838375796178</v>
          </cell>
          <cell r="M44">
            <v>0.98892837616183704</v>
          </cell>
          <cell r="N44">
            <v>0.9889939544256704</v>
          </cell>
          <cell r="O44">
            <v>0.98901098901098905</v>
          </cell>
          <cell r="P44">
            <v>0.98901098901098905</v>
          </cell>
          <cell r="Q44">
            <v>0.98901098901098905</v>
          </cell>
          <cell r="R44">
            <v>0.98901098901098905</v>
          </cell>
          <cell r="S44">
            <v>0.98901098901098905</v>
          </cell>
          <cell r="T44">
            <v>0.98901098901098905</v>
          </cell>
          <cell r="U44">
            <v>0.98901098901098905</v>
          </cell>
          <cell r="V44">
            <v>0.98901098901098905</v>
          </cell>
          <cell r="W44">
            <v>0.98901098901098905</v>
          </cell>
          <cell r="X44">
            <v>0.98901098901098905</v>
          </cell>
          <cell r="Y44">
            <v>0.98901098901098905</v>
          </cell>
          <cell r="Z44">
            <v>0.98901098901098905</v>
          </cell>
          <cell r="AA44">
            <v>0.98901098901098905</v>
          </cell>
          <cell r="AB44">
            <v>0.98901098901098905</v>
          </cell>
          <cell r="AC44">
            <v>0.98901098901098905</v>
          </cell>
          <cell r="AD44">
            <v>0.98901098901098905</v>
          </cell>
          <cell r="AE44">
            <v>0.98901098901098905</v>
          </cell>
          <cell r="AF44">
            <v>0.98901098901098905</v>
          </cell>
          <cell r="AG44">
            <v>0.98901098901098905</v>
          </cell>
          <cell r="AH44">
            <v>0.98901098901098905</v>
          </cell>
          <cell r="AI44">
            <v>0.98901098901098905</v>
          </cell>
          <cell r="AJ44">
            <v>0.98901098901098905</v>
          </cell>
          <cell r="AK44">
            <v>0.98901098901098905</v>
          </cell>
          <cell r="AL44">
            <v>0.98901098901098905</v>
          </cell>
          <cell r="AM44">
            <v>0.98901098901098905</v>
          </cell>
          <cell r="AN44">
            <v>0.98901098901098905</v>
          </cell>
          <cell r="AO44">
            <v>0.98901098901098905</v>
          </cell>
        </row>
        <row r="45">
          <cell r="A45" t="str">
            <v>64M   YFB</v>
          </cell>
          <cell r="B45" t="str">
            <v xml:space="preserve"> </v>
          </cell>
          <cell r="C45" t="str">
            <v xml:space="preserve"> </v>
          </cell>
          <cell r="D45" t="str">
            <v xml:space="preserve"> </v>
          </cell>
          <cell r="E45" t="str">
            <v xml:space="preserve"> </v>
          </cell>
          <cell r="F45" t="str">
            <v xml:space="preserve"> </v>
          </cell>
          <cell r="G45" t="str">
            <v xml:space="preserve"> </v>
          </cell>
          <cell r="H45" t="str">
            <v xml:space="preserve"> </v>
          </cell>
          <cell r="I45" t="str">
            <v xml:space="preserve"> </v>
          </cell>
          <cell r="J45" t="str">
            <v xml:space="preserve"> </v>
          </cell>
          <cell r="K45" t="str">
            <v xml:space="preserve"> </v>
          </cell>
          <cell r="L45" t="str">
            <v xml:space="preserve"> </v>
          </cell>
          <cell r="M45" t="str">
            <v xml:space="preserve"> </v>
          </cell>
          <cell r="N45" t="str">
            <v xml:space="preserve"> </v>
          </cell>
          <cell r="O45" t="str">
            <v xml:space="preserve"> </v>
          </cell>
          <cell r="P45" t="str">
            <v xml:space="preserve"> </v>
          </cell>
          <cell r="Q45" t="str">
            <v xml:space="preserve"> </v>
          </cell>
          <cell r="R45" t="str">
            <v xml:space="preserve"> 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  <cell r="Z45" t="str">
            <v xml:space="preserve"> </v>
          </cell>
          <cell r="AA45" t="str">
            <v xml:space="preserve"> </v>
          </cell>
          <cell r="AB45" t="str">
            <v xml:space="preserve"> </v>
          </cell>
          <cell r="AC45" t="str">
            <v xml:space="preserve"> </v>
          </cell>
          <cell r="AD45" t="str">
            <v xml:space="preserve"> </v>
          </cell>
          <cell r="AE45" t="str">
            <v xml:space="preserve"> </v>
          </cell>
          <cell r="AF45" t="str">
            <v xml:space="preserve"> </v>
          </cell>
          <cell r="AG45" t="str">
            <v xml:space="preserve"> </v>
          </cell>
          <cell r="AH45" t="str">
            <v xml:space="preserve"> </v>
          </cell>
          <cell r="AI45" t="str">
            <v xml:space="preserve"> </v>
          </cell>
          <cell r="AJ45" t="str">
            <v xml:space="preserve"> </v>
          </cell>
          <cell r="AK45" t="str">
            <v xml:space="preserve"> </v>
          </cell>
          <cell r="AL45" t="str">
            <v xml:space="preserve"> </v>
          </cell>
          <cell r="AM45" t="str">
            <v xml:space="preserve"> </v>
          </cell>
          <cell r="AN45" t="str">
            <v xml:space="preserve"> </v>
          </cell>
          <cell r="AO45" t="str">
            <v xml:space="preserve"> </v>
          </cell>
        </row>
        <row r="46">
          <cell r="A46" t="str">
            <v>16M Modul 1 YSPF</v>
          </cell>
          <cell r="B46" t="str">
            <v xml:space="preserve"> </v>
          </cell>
          <cell r="C46">
            <v>0.2</v>
          </cell>
          <cell r="D46">
            <v>0.5</v>
          </cell>
          <cell r="E46">
            <v>0.76</v>
          </cell>
          <cell r="F46">
            <v>0.82</v>
          </cell>
          <cell r="G46">
            <v>0.83</v>
          </cell>
          <cell r="H46">
            <v>0.84</v>
          </cell>
          <cell r="I46">
            <v>0.86</v>
          </cell>
          <cell r="J46">
            <v>0.88</v>
          </cell>
          <cell r="K46">
            <v>0.9</v>
          </cell>
          <cell r="L46">
            <v>0.9</v>
          </cell>
          <cell r="M46">
            <v>0.9</v>
          </cell>
          <cell r="N46">
            <v>0.9</v>
          </cell>
          <cell r="O46">
            <v>0.9</v>
          </cell>
          <cell r="P46">
            <v>0.9</v>
          </cell>
          <cell r="Q46">
            <v>0.85</v>
          </cell>
          <cell r="R46">
            <v>0.85</v>
          </cell>
          <cell r="S46">
            <v>0.85</v>
          </cell>
          <cell r="T46">
            <v>0.85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  <cell r="Z46" t="str">
            <v xml:space="preserve"> </v>
          </cell>
          <cell r="AA46" t="str">
            <v xml:space="preserve"> </v>
          </cell>
          <cell r="AB46" t="str">
            <v xml:space="preserve"> </v>
          </cell>
          <cell r="AC46" t="str">
            <v xml:space="preserve"> </v>
          </cell>
          <cell r="AD46" t="str">
            <v xml:space="preserve"> </v>
          </cell>
          <cell r="AE46" t="str">
            <v xml:space="preserve"> </v>
          </cell>
          <cell r="AF46" t="str">
            <v xml:space="preserve"> </v>
          </cell>
          <cell r="AG46" t="str">
            <v xml:space="preserve"> </v>
          </cell>
          <cell r="AH46" t="str">
            <v xml:space="preserve"> </v>
          </cell>
          <cell r="AI46" t="str">
            <v xml:space="preserve"> </v>
          </cell>
          <cell r="AJ46" t="str">
            <v xml:space="preserve"> </v>
          </cell>
          <cell r="AK46" t="str">
            <v xml:space="preserve"> </v>
          </cell>
          <cell r="AL46" t="str">
            <v xml:space="preserve"> </v>
          </cell>
          <cell r="AM46" t="str">
            <v xml:space="preserve"> </v>
          </cell>
          <cell r="AN46" t="str">
            <v xml:space="preserve"> </v>
          </cell>
          <cell r="AO46" t="str">
            <v xml:space="preserve"> </v>
          </cell>
        </row>
        <row r="47">
          <cell r="A47" t="str">
            <v>16M Modul 2 YSPF</v>
          </cell>
          <cell r="B47" t="str">
            <v xml:space="preserve"> </v>
          </cell>
          <cell r="C47" t="str">
            <v xml:space="preserve"> </v>
          </cell>
          <cell r="D47" t="str">
            <v xml:space="preserve"> </v>
          </cell>
          <cell r="E47">
            <v>0.3</v>
          </cell>
          <cell r="F47">
            <v>0.76</v>
          </cell>
          <cell r="G47">
            <v>0.82</v>
          </cell>
          <cell r="H47">
            <v>0.83</v>
          </cell>
          <cell r="I47">
            <v>0.86</v>
          </cell>
          <cell r="J47">
            <v>0.88</v>
          </cell>
          <cell r="K47">
            <v>0.88</v>
          </cell>
          <cell r="L47">
            <v>0.85</v>
          </cell>
          <cell r="M47">
            <v>0.85</v>
          </cell>
          <cell r="N47">
            <v>0.8</v>
          </cell>
          <cell r="O47">
            <v>0.8</v>
          </cell>
          <cell r="P47">
            <v>0.8</v>
          </cell>
          <cell r="Q47">
            <v>0.8</v>
          </cell>
          <cell r="R47" t="str">
            <v xml:space="preserve"> </v>
          </cell>
          <cell r="S47" t="str">
            <v xml:space="preserve"> </v>
          </cell>
          <cell r="T47" t="str">
            <v xml:space="preserve"> </v>
          </cell>
          <cell r="U47" t="str">
            <v xml:space="preserve"> </v>
          </cell>
          <cell r="V47" t="str">
            <v xml:space="preserve"> </v>
          </cell>
          <cell r="W47" t="str">
            <v xml:space="preserve"> </v>
          </cell>
          <cell r="X47" t="str">
            <v xml:space="preserve"> </v>
          </cell>
          <cell r="Y47" t="str">
            <v xml:space="preserve"> </v>
          </cell>
          <cell r="Z47" t="str">
            <v xml:space="preserve"> </v>
          </cell>
          <cell r="AA47" t="str">
            <v xml:space="preserve"> </v>
          </cell>
          <cell r="AB47" t="str">
            <v xml:space="preserve"> </v>
          </cell>
          <cell r="AC47" t="str">
            <v xml:space="preserve"> </v>
          </cell>
          <cell r="AD47" t="str">
            <v xml:space="preserve"> </v>
          </cell>
          <cell r="AE47" t="str">
            <v xml:space="preserve"> </v>
          </cell>
          <cell r="AF47" t="str">
            <v xml:space="preserve"> </v>
          </cell>
          <cell r="AG47" t="str">
            <v xml:space="preserve"> </v>
          </cell>
          <cell r="AH47" t="str">
            <v xml:space="preserve"> </v>
          </cell>
          <cell r="AI47" t="str">
            <v xml:space="preserve"> </v>
          </cell>
          <cell r="AJ47" t="str">
            <v xml:space="preserve"> </v>
          </cell>
          <cell r="AK47" t="str">
            <v xml:space="preserve"> </v>
          </cell>
          <cell r="AL47" t="str">
            <v xml:space="preserve"> </v>
          </cell>
          <cell r="AM47" t="str">
            <v xml:space="preserve"> </v>
          </cell>
          <cell r="AN47" t="str">
            <v xml:space="preserve"> </v>
          </cell>
          <cell r="AO47" t="str">
            <v xml:space="preserve"> </v>
          </cell>
        </row>
        <row r="48">
          <cell r="A48" t="str">
            <v>16M   YSPF</v>
          </cell>
          <cell r="B48" t="str">
            <v xml:space="preserve"> </v>
          </cell>
          <cell r="C48">
            <v>0.2</v>
          </cell>
          <cell r="D48">
            <v>0.5</v>
          </cell>
          <cell r="E48">
            <v>0.66242424242424247</v>
          </cell>
          <cell r="F48">
            <v>0.80054054054054058</v>
          </cell>
          <cell r="G48">
            <v>0.82681818181818179</v>
          </cell>
          <cell r="H48">
            <v>0.83702127659574466</v>
          </cell>
          <cell r="I48">
            <v>0.85999999999999988</v>
          </cell>
          <cell r="J48">
            <v>0.88</v>
          </cell>
          <cell r="K48">
            <v>0.89431492842535787</v>
          </cell>
          <cell r="L48">
            <v>0.88914988814317675</v>
          </cell>
          <cell r="M48">
            <v>0.89320987654320982</v>
          </cell>
          <cell r="N48">
            <v>0.89859154929577467</v>
          </cell>
          <cell r="O48">
            <v>0.9</v>
          </cell>
          <cell r="P48">
            <v>0.9</v>
          </cell>
          <cell r="Q48">
            <v>0.9</v>
          </cell>
          <cell r="R48">
            <v>0.9</v>
          </cell>
          <cell r="S48">
            <v>0.9</v>
          </cell>
          <cell r="T48">
            <v>0.9</v>
          </cell>
          <cell r="U48">
            <v>0.9</v>
          </cell>
          <cell r="V48">
            <v>0.9</v>
          </cell>
          <cell r="W48">
            <v>0.9</v>
          </cell>
          <cell r="X48">
            <v>0.9</v>
          </cell>
          <cell r="Y48">
            <v>0.9</v>
          </cell>
          <cell r="Z48">
            <v>0.9</v>
          </cell>
          <cell r="AA48">
            <v>0.9</v>
          </cell>
          <cell r="AB48">
            <v>0.9</v>
          </cell>
          <cell r="AC48">
            <v>0.9</v>
          </cell>
          <cell r="AD48">
            <v>0.9</v>
          </cell>
          <cell r="AE48">
            <v>0.9</v>
          </cell>
          <cell r="AF48">
            <v>0.9</v>
          </cell>
          <cell r="AG48">
            <v>0.9</v>
          </cell>
          <cell r="AH48">
            <v>0.9</v>
          </cell>
          <cell r="AI48">
            <v>0.9</v>
          </cell>
          <cell r="AJ48">
            <v>0.9</v>
          </cell>
          <cell r="AK48">
            <v>0.9</v>
          </cell>
          <cell r="AL48">
            <v>0.9</v>
          </cell>
          <cell r="AM48">
            <v>0.9</v>
          </cell>
          <cell r="AN48">
            <v>0.9</v>
          </cell>
          <cell r="AO48">
            <v>0.9</v>
          </cell>
        </row>
        <row r="49">
          <cell r="A49" t="str">
            <v>64M   YSPF</v>
          </cell>
          <cell r="B49" t="str">
            <v xml:space="preserve"> </v>
          </cell>
          <cell r="C49" t="str">
            <v xml:space="preserve"> </v>
          </cell>
          <cell r="D49" t="str">
            <v xml:space="preserve"> </v>
          </cell>
          <cell r="E49" t="str">
            <v xml:space="preserve"> </v>
          </cell>
          <cell r="F49" t="str">
            <v xml:space="preserve"> </v>
          </cell>
          <cell r="G49" t="str">
            <v xml:space="preserve"> </v>
          </cell>
          <cell r="H49" t="str">
            <v xml:space="preserve"> </v>
          </cell>
          <cell r="I49" t="str">
            <v xml:space="preserve"> </v>
          </cell>
          <cell r="J49" t="str">
            <v xml:space="preserve"> </v>
          </cell>
          <cell r="K49" t="str">
            <v xml:space="preserve"> </v>
          </cell>
          <cell r="L49">
            <v>0.18</v>
          </cell>
          <cell r="M49">
            <v>0.18</v>
          </cell>
          <cell r="N49">
            <v>0.23</v>
          </cell>
          <cell r="O49">
            <v>0.38</v>
          </cell>
          <cell r="P49">
            <v>0.47</v>
          </cell>
          <cell r="Q49">
            <v>0.59</v>
          </cell>
          <cell r="R49">
            <v>0.63</v>
          </cell>
          <cell r="S49">
            <v>0.68</v>
          </cell>
          <cell r="T49">
            <v>0.74334459459459468</v>
          </cell>
          <cell r="U49">
            <v>0.77524495677233429</v>
          </cell>
          <cell r="V49">
            <v>0.81375921375921378</v>
          </cell>
          <cell r="W49">
            <v>0.83261261261261266</v>
          </cell>
          <cell r="X49">
            <v>0.85135902636916827</v>
          </cell>
          <cell r="Y49">
            <v>0.87018181818181817</v>
          </cell>
          <cell r="Z49">
            <v>0.88</v>
          </cell>
          <cell r="AA49">
            <v>0.88</v>
          </cell>
          <cell r="AB49">
            <v>0.88</v>
          </cell>
          <cell r="AC49">
            <v>0.88</v>
          </cell>
          <cell r="AD49">
            <v>0.88</v>
          </cell>
          <cell r="AE49">
            <v>0.88</v>
          </cell>
          <cell r="AF49">
            <v>0.88</v>
          </cell>
          <cell r="AG49">
            <v>0.88</v>
          </cell>
          <cell r="AH49">
            <v>0.88</v>
          </cell>
          <cell r="AI49">
            <v>0.88</v>
          </cell>
          <cell r="AJ49">
            <v>0.88</v>
          </cell>
          <cell r="AK49">
            <v>0.88</v>
          </cell>
          <cell r="AL49">
            <v>0.88</v>
          </cell>
          <cell r="AM49">
            <v>0.88</v>
          </cell>
          <cell r="AN49">
            <v>0.88</v>
          </cell>
          <cell r="AO49">
            <v>0.88</v>
          </cell>
        </row>
        <row r="50">
          <cell r="A50" t="str">
            <v xml:space="preserve"> </v>
          </cell>
          <cell r="B50" t="str">
            <v xml:space="preserve"> </v>
          </cell>
          <cell r="C50" t="str">
            <v xml:space="preserve"> </v>
          </cell>
          <cell r="D50" t="str">
            <v xml:space="preserve"> </v>
          </cell>
          <cell r="E50" t="str">
            <v xml:space="preserve"> </v>
          </cell>
          <cell r="F50" t="str">
            <v xml:space="preserve"> </v>
          </cell>
          <cell r="G50" t="str">
            <v xml:space="preserve"> </v>
          </cell>
          <cell r="H50" t="str">
            <v xml:space="preserve"> </v>
          </cell>
          <cell r="I50" t="str">
            <v xml:space="preserve"> </v>
          </cell>
          <cell r="J50" t="str">
            <v xml:space="preserve"> </v>
          </cell>
          <cell r="K50" t="str">
            <v xml:space="preserve"> </v>
          </cell>
          <cell r="L50" t="str">
            <v xml:space="preserve"> </v>
          </cell>
          <cell r="M50" t="str">
            <v xml:space="preserve"> </v>
          </cell>
          <cell r="N50" t="str">
            <v xml:space="preserve"> </v>
          </cell>
          <cell r="O50" t="str">
            <v xml:space="preserve"> </v>
          </cell>
          <cell r="P50" t="str">
            <v xml:space="preserve"> </v>
          </cell>
          <cell r="Q50" t="str">
            <v xml:space="preserve"> </v>
          </cell>
          <cell r="R50" t="str">
            <v xml:space="preserve"> </v>
          </cell>
          <cell r="S50" t="str">
            <v xml:space="preserve"> </v>
          </cell>
          <cell r="T50" t="str">
            <v xml:space="preserve"> </v>
          </cell>
          <cell r="U50" t="str">
            <v xml:space="preserve"> </v>
          </cell>
          <cell r="V50" t="str">
            <v xml:space="preserve"> </v>
          </cell>
          <cell r="W50" t="str">
            <v xml:space="preserve"> </v>
          </cell>
          <cell r="X50" t="str">
            <v xml:space="preserve"> </v>
          </cell>
          <cell r="Y50" t="str">
            <v xml:space="preserve"> </v>
          </cell>
          <cell r="Z50" t="str">
            <v xml:space="preserve"> </v>
          </cell>
          <cell r="AA50" t="str">
            <v xml:space="preserve"> </v>
          </cell>
          <cell r="AB50" t="str">
            <v xml:space="preserve"> </v>
          </cell>
          <cell r="AC50" t="str">
            <v xml:space="preserve"> </v>
          </cell>
          <cell r="AD50" t="str">
            <v xml:space="preserve"> </v>
          </cell>
          <cell r="AE50" t="str">
            <v xml:space="preserve"> </v>
          </cell>
          <cell r="AF50" t="str">
            <v xml:space="preserve"> </v>
          </cell>
          <cell r="AG50" t="str">
            <v xml:space="preserve"> </v>
          </cell>
          <cell r="AH50" t="str">
            <v xml:space="preserve"> </v>
          </cell>
          <cell r="AI50" t="str">
            <v xml:space="preserve"> </v>
          </cell>
          <cell r="AJ50" t="str">
            <v xml:space="preserve"> </v>
          </cell>
          <cell r="AK50" t="str">
            <v xml:space="preserve"> </v>
          </cell>
          <cell r="AL50" t="str">
            <v xml:space="preserve"> </v>
          </cell>
          <cell r="AM50" t="str">
            <v xml:space="preserve"> </v>
          </cell>
          <cell r="AN50" t="str">
            <v xml:space="preserve"> </v>
          </cell>
          <cell r="AO50" t="str">
            <v xml:space="preserve"> </v>
          </cell>
        </row>
        <row r="51">
          <cell r="A51" t="str">
            <v>16M  Y VM</v>
          </cell>
          <cell r="B51" t="str">
            <v xml:space="preserve"> </v>
          </cell>
          <cell r="C51">
            <v>0.99</v>
          </cell>
          <cell r="D51">
            <v>0.99</v>
          </cell>
          <cell r="E51">
            <v>0.99</v>
          </cell>
          <cell r="F51">
            <v>0.99</v>
          </cell>
          <cell r="G51">
            <v>0.99</v>
          </cell>
          <cell r="H51">
            <v>0.99</v>
          </cell>
          <cell r="I51">
            <v>0.99</v>
          </cell>
          <cell r="J51">
            <v>0.99</v>
          </cell>
          <cell r="K51">
            <v>0.99</v>
          </cell>
          <cell r="L51">
            <v>0.99</v>
          </cell>
          <cell r="M51">
            <v>0.99</v>
          </cell>
          <cell r="N51">
            <v>0.99</v>
          </cell>
          <cell r="O51">
            <v>0.99</v>
          </cell>
          <cell r="P51">
            <v>0.99</v>
          </cell>
          <cell r="Q51">
            <v>0.99</v>
          </cell>
          <cell r="R51">
            <v>0.99</v>
          </cell>
          <cell r="S51">
            <v>0.99</v>
          </cell>
          <cell r="T51">
            <v>0.99</v>
          </cell>
          <cell r="U51">
            <v>0.99</v>
          </cell>
          <cell r="V51">
            <v>0.99</v>
          </cell>
          <cell r="W51">
            <v>0.99</v>
          </cell>
          <cell r="X51">
            <v>0.99</v>
          </cell>
          <cell r="Y51">
            <v>0.99</v>
          </cell>
          <cell r="Z51">
            <v>0.99</v>
          </cell>
          <cell r="AA51">
            <v>0.99</v>
          </cell>
          <cell r="AB51">
            <v>0.99</v>
          </cell>
          <cell r="AC51">
            <v>0.99</v>
          </cell>
          <cell r="AD51">
            <v>0.99</v>
          </cell>
          <cell r="AE51">
            <v>0.99</v>
          </cell>
          <cell r="AF51">
            <v>0.99</v>
          </cell>
          <cell r="AG51">
            <v>0.99</v>
          </cell>
          <cell r="AH51">
            <v>0.99</v>
          </cell>
          <cell r="AI51">
            <v>0.99</v>
          </cell>
          <cell r="AJ51">
            <v>0.99</v>
          </cell>
          <cell r="AK51">
            <v>0.99</v>
          </cell>
          <cell r="AL51">
            <v>0.99</v>
          </cell>
          <cell r="AM51">
            <v>0.99</v>
          </cell>
          <cell r="AN51">
            <v>0.99</v>
          </cell>
          <cell r="AO51">
            <v>0.99</v>
          </cell>
        </row>
        <row r="52">
          <cell r="A52" t="str">
            <v>64M  Y VM</v>
          </cell>
          <cell r="B52" t="str">
            <v xml:space="preserve"> </v>
          </cell>
          <cell r="C52">
            <v>0.99</v>
          </cell>
          <cell r="D52">
            <v>0.99</v>
          </cell>
          <cell r="E52">
            <v>0.99</v>
          </cell>
          <cell r="F52">
            <v>0.99</v>
          </cell>
          <cell r="G52">
            <v>0.99</v>
          </cell>
          <cell r="H52">
            <v>0.99</v>
          </cell>
          <cell r="I52">
            <v>0.99</v>
          </cell>
          <cell r="J52">
            <v>0.99</v>
          </cell>
          <cell r="K52">
            <v>0.99</v>
          </cell>
          <cell r="L52">
            <v>0.99</v>
          </cell>
          <cell r="M52">
            <v>0.99</v>
          </cell>
          <cell r="N52">
            <v>0.99</v>
          </cell>
          <cell r="O52">
            <v>0.99</v>
          </cell>
          <cell r="P52">
            <v>0.99</v>
          </cell>
          <cell r="Q52">
            <v>0.99</v>
          </cell>
          <cell r="R52">
            <v>0.99</v>
          </cell>
          <cell r="S52">
            <v>0.99</v>
          </cell>
          <cell r="T52">
            <v>0.99</v>
          </cell>
          <cell r="U52">
            <v>0.99</v>
          </cell>
          <cell r="V52">
            <v>0.99</v>
          </cell>
          <cell r="W52">
            <v>0.99</v>
          </cell>
          <cell r="X52">
            <v>0.99</v>
          </cell>
          <cell r="Y52">
            <v>0.99</v>
          </cell>
          <cell r="Z52">
            <v>0.99</v>
          </cell>
          <cell r="AA52">
            <v>0.99</v>
          </cell>
          <cell r="AB52">
            <v>0.99</v>
          </cell>
          <cell r="AC52">
            <v>0.99</v>
          </cell>
          <cell r="AD52">
            <v>0.99</v>
          </cell>
          <cell r="AE52">
            <v>0.99</v>
          </cell>
          <cell r="AF52">
            <v>0.99</v>
          </cell>
          <cell r="AG52">
            <v>0.99</v>
          </cell>
          <cell r="AH52">
            <v>0.99</v>
          </cell>
          <cell r="AI52">
            <v>0.99</v>
          </cell>
          <cell r="AJ52">
            <v>0.99</v>
          </cell>
          <cell r="AK52">
            <v>0.99</v>
          </cell>
          <cell r="AL52">
            <v>0.99</v>
          </cell>
          <cell r="AM52">
            <v>0.99</v>
          </cell>
          <cell r="AN52">
            <v>0.99</v>
          </cell>
          <cell r="AO52">
            <v>0.99</v>
          </cell>
        </row>
        <row r="53">
          <cell r="A53" t="str">
            <v xml:space="preserve"> </v>
          </cell>
          <cell r="B53" t="str">
            <v xml:space="preserve"> </v>
          </cell>
          <cell r="C53" t="str">
            <v xml:space="preserve"> </v>
          </cell>
          <cell r="D53" t="str">
            <v xml:space="preserve"> </v>
          </cell>
          <cell r="E53" t="str">
            <v xml:space="preserve"> </v>
          </cell>
          <cell r="F53" t="str">
            <v xml:space="preserve"> </v>
          </cell>
          <cell r="G53" t="str">
            <v xml:space="preserve"> </v>
          </cell>
          <cell r="H53" t="str">
            <v xml:space="preserve"> </v>
          </cell>
          <cell r="I53" t="str">
            <v xml:space="preserve"> </v>
          </cell>
          <cell r="J53" t="str">
            <v xml:space="preserve"> </v>
          </cell>
          <cell r="K53" t="str">
            <v xml:space="preserve"> </v>
          </cell>
          <cell r="L53" t="str">
            <v xml:space="preserve"> </v>
          </cell>
          <cell r="M53" t="str">
            <v xml:space="preserve"> </v>
          </cell>
          <cell r="N53" t="str">
            <v xml:space="preserve"> </v>
          </cell>
          <cell r="O53" t="str">
            <v xml:space="preserve"> </v>
          </cell>
          <cell r="P53" t="str">
            <v xml:space="preserve"> </v>
          </cell>
          <cell r="Q53" t="str">
            <v xml:space="preserve"> </v>
          </cell>
          <cell r="R53" t="str">
            <v xml:space="preserve"> </v>
          </cell>
          <cell r="S53" t="str">
            <v xml:space="preserve"> </v>
          </cell>
          <cell r="T53" t="str">
            <v xml:space="preserve"> </v>
          </cell>
          <cell r="U53" t="str">
            <v xml:space="preserve"> </v>
          </cell>
          <cell r="V53" t="str">
            <v xml:space="preserve"> </v>
          </cell>
          <cell r="W53" t="str">
            <v xml:space="preserve"> </v>
          </cell>
          <cell r="X53" t="str">
            <v xml:space="preserve"> </v>
          </cell>
          <cell r="Y53" t="str">
            <v xml:space="preserve"> </v>
          </cell>
          <cell r="Z53" t="str">
            <v xml:space="preserve"> </v>
          </cell>
          <cell r="AA53" t="str">
            <v xml:space="preserve"> </v>
          </cell>
          <cell r="AB53" t="str">
            <v xml:space="preserve"> </v>
          </cell>
          <cell r="AC53" t="str">
            <v xml:space="preserve"> </v>
          </cell>
          <cell r="AD53" t="str">
            <v xml:space="preserve"> </v>
          </cell>
          <cell r="AE53" t="str">
            <v xml:space="preserve"> </v>
          </cell>
          <cell r="AF53" t="str">
            <v xml:space="preserve"> </v>
          </cell>
          <cell r="AG53" t="str">
            <v xml:space="preserve"> </v>
          </cell>
          <cell r="AH53" t="str">
            <v xml:space="preserve"> </v>
          </cell>
          <cell r="AI53" t="str">
            <v xml:space="preserve"> </v>
          </cell>
          <cell r="AJ53" t="str">
            <v xml:space="preserve"> </v>
          </cell>
          <cell r="AK53" t="str">
            <v xml:space="preserve"> </v>
          </cell>
          <cell r="AL53" t="str">
            <v xml:space="preserve"> </v>
          </cell>
          <cell r="AM53" t="str">
            <v xml:space="preserve"> </v>
          </cell>
          <cell r="AN53" t="str">
            <v xml:space="preserve"> </v>
          </cell>
          <cell r="AO53" t="str">
            <v xml:space="preserve"> </v>
          </cell>
        </row>
        <row r="54">
          <cell r="A54" t="str">
            <v>16M  YMON</v>
          </cell>
          <cell r="B54" t="str">
            <v xml:space="preserve"> </v>
          </cell>
          <cell r="C54">
            <v>0.95</v>
          </cell>
          <cell r="D54">
            <v>0.96</v>
          </cell>
          <cell r="E54">
            <v>0.97</v>
          </cell>
          <cell r="F54">
            <v>0.97</v>
          </cell>
          <cell r="G54">
            <v>0.97</v>
          </cell>
          <cell r="H54">
            <v>0.97</v>
          </cell>
          <cell r="I54">
            <v>0.97</v>
          </cell>
          <cell r="J54">
            <v>0.97</v>
          </cell>
          <cell r="K54">
            <v>0.97</v>
          </cell>
          <cell r="L54">
            <v>0.97</v>
          </cell>
          <cell r="M54">
            <v>0.97</v>
          </cell>
          <cell r="N54">
            <v>0.97</v>
          </cell>
          <cell r="O54">
            <v>0.97</v>
          </cell>
          <cell r="P54">
            <v>0.97</v>
          </cell>
          <cell r="Q54">
            <v>0.97</v>
          </cell>
          <cell r="R54">
            <v>0.97</v>
          </cell>
          <cell r="S54">
            <v>0.97</v>
          </cell>
          <cell r="T54">
            <v>0.97</v>
          </cell>
          <cell r="U54">
            <v>0.97</v>
          </cell>
          <cell r="V54">
            <v>0.97</v>
          </cell>
          <cell r="W54">
            <v>0.97</v>
          </cell>
          <cell r="X54">
            <v>0.97</v>
          </cell>
          <cell r="Y54">
            <v>0.97</v>
          </cell>
          <cell r="Z54">
            <v>0.97</v>
          </cell>
          <cell r="AA54">
            <v>0.97</v>
          </cell>
          <cell r="AB54">
            <v>0.97</v>
          </cell>
          <cell r="AC54">
            <v>0.97</v>
          </cell>
          <cell r="AD54">
            <v>0.97</v>
          </cell>
          <cell r="AE54">
            <v>0.97</v>
          </cell>
          <cell r="AF54">
            <v>0.97</v>
          </cell>
          <cell r="AG54">
            <v>0.97</v>
          </cell>
          <cell r="AH54">
            <v>0.97</v>
          </cell>
          <cell r="AI54">
            <v>0.97</v>
          </cell>
          <cell r="AJ54">
            <v>0.97</v>
          </cell>
          <cell r="AK54">
            <v>0.97</v>
          </cell>
          <cell r="AL54">
            <v>0.97</v>
          </cell>
          <cell r="AM54">
            <v>0.97</v>
          </cell>
          <cell r="AN54">
            <v>0.97</v>
          </cell>
          <cell r="AO54">
            <v>0.97</v>
          </cell>
        </row>
        <row r="55">
          <cell r="A55" t="str">
            <v>16M  YMON</v>
          </cell>
          <cell r="B55" t="str">
            <v xml:space="preserve"> </v>
          </cell>
          <cell r="C55">
            <v>0.95</v>
          </cell>
          <cell r="D55">
            <v>0.96</v>
          </cell>
          <cell r="E55">
            <v>0.97</v>
          </cell>
          <cell r="F55">
            <v>0.97</v>
          </cell>
          <cell r="G55">
            <v>0.97</v>
          </cell>
          <cell r="H55">
            <v>0.97</v>
          </cell>
          <cell r="I55">
            <v>0.99</v>
          </cell>
          <cell r="J55">
            <v>0.99</v>
          </cell>
          <cell r="K55">
            <v>0.99</v>
          </cell>
          <cell r="L55">
            <v>0.99</v>
          </cell>
          <cell r="M55">
            <v>0.99</v>
          </cell>
          <cell r="N55">
            <v>0.99</v>
          </cell>
          <cell r="O55">
            <v>0.99</v>
          </cell>
          <cell r="P55">
            <v>0.99</v>
          </cell>
          <cell r="Q55">
            <v>0.99</v>
          </cell>
          <cell r="R55">
            <v>0.99</v>
          </cell>
          <cell r="S55">
            <v>0.99</v>
          </cell>
          <cell r="T55">
            <v>0.99</v>
          </cell>
          <cell r="U55">
            <v>0.99</v>
          </cell>
          <cell r="V55">
            <v>0.99</v>
          </cell>
          <cell r="W55">
            <v>0.99</v>
          </cell>
          <cell r="X55">
            <v>0.99</v>
          </cell>
          <cell r="Y55">
            <v>0.99</v>
          </cell>
          <cell r="Z55">
            <v>0.99</v>
          </cell>
          <cell r="AA55">
            <v>0.99</v>
          </cell>
          <cell r="AB55">
            <v>0.99</v>
          </cell>
          <cell r="AC55">
            <v>0.99</v>
          </cell>
          <cell r="AD55">
            <v>0.99</v>
          </cell>
          <cell r="AE55">
            <v>0.99</v>
          </cell>
          <cell r="AF55">
            <v>0.99</v>
          </cell>
          <cell r="AG55">
            <v>0.99</v>
          </cell>
          <cell r="AH55">
            <v>0.99</v>
          </cell>
          <cell r="AI55">
            <v>0.99</v>
          </cell>
          <cell r="AJ55">
            <v>0.99</v>
          </cell>
          <cell r="AK55">
            <v>0.99</v>
          </cell>
          <cell r="AL55">
            <v>0.99</v>
          </cell>
          <cell r="AM55">
            <v>0.99</v>
          </cell>
          <cell r="AN55">
            <v>0.99</v>
          </cell>
          <cell r="AO55">
            <v>0.99</v>
          </cell>
        </row>
        <row r="56">
          <cell r="A56" t="str">
            <v>64M  YMON</v>
          </cell>
          <cell r="B56" t="str">
            <v xml:space="preserve"> </v>
          </cell>
          <cell r="C56" t="str">
            <v xml:space="preserve"> </v>
          </cell>
          <cell r="D56" t="str">
            <v xml:space="preserve"> </v>
          </cell>
          <cell r="E56" t="str">
            <v xml:space="preserve"> </v>
          </cell>
          <cell r="F56" t="str">
            <v xml:space="preserve"> </v>
          </cell>
          <cell r="G56" t="str">
            <v xml:space="preserve"> </v>
          </cell>
          <cell r="H56" t="str">
            <v xml:space="preserve"> </v>
          </cell>
          <cell r="I56" t="str">
            <v xml:space="preserve"> </v>
          </cell>
          <cell r="J56" t="str">
            <v xml:space="preserve"> </v>
          </cell>
          <cell r="K56" t="str">
            <v xml:space="preserve"> </v>
          </cell>
          <cell r="L56">
            <v>0.9</v>
          </cell>
          <cell r="M56">
            <v>0.9</v>
          </cell>
          <cell r="N56">
            <v>0.92</v>
          </cell>
          <cell r="O56">
            <v>0.93</v>
          </cell>
          <cell r="P56">
            <v>0.94</v>
          </cell>
          <cell r="Q56">
            <v>0.95</v>
          </cell>
          <cell r="R56">
            <v>0.95</v>
          </cell>
          <cell r="S56">
            <v>0.95</v>
          </cell>
          <cell r="T56">
            <v>0.95</v>
          </cell>
          <cell r="U56">
            <v>0.95</v>
          </cell>
          <cell r="V56">
            <v>0.95</v>
          </cell>
          <cell r="W56">
            <v>0.97</v>
          </cell>
          <cell r="X56">
            <v>0.97</v>
          </cell>
          <cell r="Y56">
            <v>0.97</v>
          </cell>
          <cell r="Z56">
            <v>0.97</v>
          </cell>
          <cell r="AA56">
            <v>0.97</v>
          </cell>
          <cell r="AB56">
            <v>0.97</v>
          </cell>
          <cell r="AC56">
            <v>0.97</v>
          </cell>
          <cell r="AD56">
            <v>0.97</v>
          </cell>
          <cell r="AE56">
            <v>0.97</v>
          </cell>
          <cell r="AF56">
            <v>0.97</v>
          </cell>
          <cell r="AG56">
            <v>0.97</v>
          </cell>
          <cell r="AH56">
            <v>0.97</v>
          </cell>
          <cell r="AI56">
            <v>0.97</v>
          </cell>
          <cell r="AJ56">
            <v>0.97</v>
          </cell>
          <cell r="AK56">
            <v>0.97</v>
          </cell>
          <cell r="AL56">
            <v>0.97</v>
          </cell>
          <cell r="AM56">
            <v>0.97</v>
          </cell>
          <cell r="AN56">
            <v>0.97</v>
          </cell>
          <cell r="AO56">
            <v>0.97</v>
          </cell>
        </row>
        <row r="57">
          <cell r="A57" t="str">
            <v xml:space="preserve"> </v>
          </cell>
          <cell r="B57" t="str">
            <v xml:space="preserve"> </v>
          </cell>
          <cell r="C57" t="str">
            <v xml:space="preserve"> </v>
          </cell>
          <cell r="D57" t="str">
            <v xml:space="preserve"> </v>
          </cell>
          <cell r="E57" t="str">
            <v xml:space="preserve"> </v>
          </cell>
          <cell r="F57" t="str">
            <v xml:space="preserve"> </v>
          </cell>
          <cell r="G57" t="str">
            <v xml:space="preserve"> </v>
          </cell>
          <cell r="H57" t="str">
            <v xml:space="preserve"> </v>
          </cell>
          <cell r="I57" t="str">
            <v xml:space="preserve"> </v>
          </cell>
          <cell r="J57" t="str">
            <v xml:space="preserve"> </v>
          </cell>
          <cell r="K57" t="str">
            <v xml:space="preserve"> </v>
          </cell>
          <cell r="L57" t="str">
            <v xml:space="preserve"> </v>
          </cell>
          <cell r="M57" t="str">
            <v xml:space="preserve"> </v>
          </cell>
          <cell r="N57" t="str">
            <v xml:space="preserve"> </v>
          </cell>
          <cell r="O57" t="str">
            <v xml:space="preserve"> </v>
          </cell>
          <cell r="P57" t="str">
            <v xml:space="preserve"> </v>
          </cell>
          <cell r="Q57" t="str">
            <v xml:space="preserve"> </v>
          </cell>
          <cell r="R57" t="str">
            <v xml:space="preserve"> </v>
          </cell>
          <cell r="S57" t="str">
            <v xml:space="preserve"> </v>
          </cell>
          <cell r="T57" t="str">
            <v xml:space="preserve"> </v>
          </cell>
          <cell r="U57" t="str">
            <v xml:space="preserve"> </v>
          </cell>
          <cell r="V57" t="str">
            <v xml:space="preserve"> </v>
          </cell>
          <cell r="W57" t="str">
            <v xml:space="preserve"> </v>
          </cell>
          <cell r="X57" t="str">
            <v xml:space="preserve"> </v>
          </cell>
          <cell r="Y57" t="str">
            <v xml:space="preserve"> </v>
          </cell>
          <cell r="Z57" t="str">
            <v xml:space="preserve"> </v>
          </cell>
          <cell r="AA57" t="str">
            <v xml:space="preserve"> </v>
          </cell>
          <cell r="AB57" t="str">
            <v xml:space="preserve"> </v>
          </cell>
          <cell r="AC57" t="str">
            <v xml:space="preserve"> </v>
          </cell>
          <cell r="AD57" t="str">
            <v xml:space="preserve"> </v>
          </cell>
          <cell r="AE57" t="str">
            <v xml:space="preserve"> </v>
          </cell>
          <cell r="AF57" t="str">
            <v xml:space="preserve"> </v>
          </cell>
          <cell r="AG57" t="str">
            <v xml:space="preserve"> </v>
          </cell>
          <cell r="AH57" t="str">
            <v xml:space="preserve"> </v>
          </cell>
          <cell r="AI57" t="str">
            <v xml:space="preserve"> </v>
          </cell>
          <cell r="AJ57" t="str">
            <v xml:space="preserve"> </v>
          </cell>
          <cell r="AK57" t="str">
            <v xml:space="preserve"> </v>
          </cell>
          <cell r="AL57" t="str">
            <v xml:space="preserve"> </v>
          </cell>
          <cell r="AM57" t="str">
            <v xml:space="preserve"> </v>
          </cell>
          <cell r="AN57" t="str">
            <v xml:space="preserve"> </v>
          </cell>
          <cell r="AO57" t="str">
            <v xml:space="preserve"> </v>
          </cell>
        </row>
        <row r="58">
          <cell r="A58" t="str">
            <v>16M  YEPF</v>
          </cell>
          <cell r="B58" t="str">
            <v xml:space="preserve"> </v>
          </cell>
          <cell r="C58">
            <v>0.85</v>
          </cell>
          <cell r="D58">
            <v>0.85</v>
          </cell>
          <cell r="E58">
            <v>0.85</v>
          </cell>
          <cell r="F58">
            <v>0.85</v>
          </cell>
          <cell r="G58">
            <v>0.9</v>
          </cell>
          <cell r="H58">
            <v>0.9</v>
          </cell>
          <cell r="I58">
            <v>0.9</v>
          </cell>
          <cell r="J58">
            <v>0.9</v>
          </cell>
          <cell r="K58">
            <v>0.92</v>
          </cell>
          <cell r="L58">
            <v>0.92</v>
          </cell>
          <cell r="M58">
            <v>0.92</v>
          </cell>
          <cell r="N58">
            <v>0.92</v>
          </cell>
          <cell r="O58">
            <v>0.95</v>
          </cell>
          <cell r="P58">
            <v>0.95</v>
          </cell>
          <cell r="Q58">
            <v>0.95</v>
          </cell>
          <cell r="R58">
            <v>0.95</v>
          </cell>
          <cell r="S58">
            <v>0.95</v>
          </cell>
          <cell r="T58">
            <v>0.95</v>
          </cell>
          <cell r="U58">
            <v>0.95</v>
          </cell>
          <cell r="V58">
            <v>0.95</v>
          </cell>
          <cell r="W58">
            <v>0.95</v>
          </cell>
          <cell r="X58">
            <v>0.95</v>
          </cell>
          <cell r="Y58">
            <v>0.95</v>
          </cell>
          <cell r="Z58">
            <v>0.95</v>
          </cell>
          <cell r="AA58">
            <v>0.95</v>
          </cell>
          <cell r="AB58">
            <v>0.95</v>
          </cell>
          <cell r="AC58">
            <v>0.95</v>
          </cell>
          <cell r="AD58">
            <v>0.95</v>
          </cell>
          <cell r="AE58">
            <v>0.95</v>
          </cell>
          <cell r="AF58">
            <v>0.95</v>
          </cell>
          <cell r="AG58">
            <v>0.95</v>
          </cell>
          <cell r="AH58">
            <v>0.95</v>
          </cell>
          <cell r="AI58">
            <v>0.95</v>
          </cell>
          <cell r="AJ58">
            <v>0.95</v>
          </cell>
          <cell r="AK58">
            <v>0.95</v>
          </cell>
          <cell r="AL58">
            <v>0.95</v>
          </cell>
          <cell r="AM58">
            <v>0.95</v>
          </cell>
          <cell r="AN58">
            <v>0.95</v>
          </cell>
          <cell r="AO58">
            <v>0.95</v>
          </cell>
        </row>
        <row r="59">
          <cell r="A59" t="str">
            <v>64M  YEPF</v>
          </cell>
          <cell r="B59" t="str">
            <v xml:space="preserve"> </v>
          </cell>
          <cell r="C59" t="str">
            <v xml:space="preserve"> </v>
          </cell>
          <cell r="D59" t="str">
            <v xml:space="preserve"> </v>
          </cell>
          <cell r="E59" t="str">
            <v xml:space="preserve"> </v>
          </cell>
          <cell r="F59" t="str">
            <v xml:space="preserve"> </v>
          </cell>
          <cell r="G59" t="str">
            <v xml:space="preserve"> </v>
          </cell>
          <cell r="H59" t="str">
            <v xml:space="preserve"> </v>
          </cell>
          <cell r="I59" t="str">
            <v xml:space="preserve"> </v>
          </cell>
          <cell r="J59" t="str">
            <v xml:space="preserve"> </v>
          </cell>
          <cell r="K59" t="str">
            <v xml:space="preserve"> </v>
          </cell>
          <cell r="L59">
            <v>0.7</v>
          </cell>
          <cell r="M59">
            <v>0.7</v>
          </cell>
          <cell r="N59">
            <v>0.7</v>
          </cell>
          <cell r="O59">
            <v>0.85</v>
          </cell>
          <cell r="P59">
            <v>0.85</v>
          </cell>
          <cell r="Q59">
            <v>0.85</v>
          </cell>
          <cell r="R59">
            <v>0.85</v>
          </cell>
          <cell r="S59">
            <v>0.9</v>
          </cell>
          <cell r="T59">
            <v>0.9</v>
          </cell>
          <cell r="U59">
            <v>0.9</v>
          </cell>
          <cell r="V59">
            <v>0.9</v>
          </cell>
          <cell r="W59">
            <v>0.92</v>
          </cell>
          <cell r="X59">
            <v>0.92</v>
          </cell>
          <cell r="Y59">
            <v>0.92</v>
          </cell>
          <cell r="Z59">
            <v>0.92</v>
          </cell>
          <cell r="AA59">
            <v>0.95</v>
          </cell>
          <cell r="AB59">
            <v>0.95</v>
          </cell>
          <cell r="AC59">
            <v>0.95</v>
          </cell>
          <cell r="AD59">
            <v>0.95</v>
          </cell>
          <cell r="AE59">
            <v>0.95</v>
          </cell>
          <cell r="AF59">
            <v>0.95</v>
          </cell>
          <cell r="AG59">
            <v>0.95</v>
          </cell>
          <cell r="AH59">
            <v>0.95</v>
          </cell>
          <cell r="AI59">
            <v>0.95</v>
          </cell>
          <cell r="AJ59">
            <v>0.95</v>
          </cell>
          <cell r="AK59">
            <v>0.95</v>
          </cell>
          <cell r="AL59">
            <v>0.95</v>
          </cell>
          <cell r="AM59">
            <v>0.95</v>
          </cell>
          <cell r="AN59">
            <v>0.95</v>
          </cell>
          <cell r="AO59">
            <v>0.95</v>
          </cell>
        </row>
        <row r="60">
          <cell r="A60" t="str">
            <v xml:space="preserve"> </v>
          </cell>
          <cell r="B60" t="str">
            <v xml:space="preserve"> </v>
          </cell>
          <cell r="C60" t="str">
            <v xml:space="preserve"> </v>
          </cell>
          <cell r="D60" t="str">
            <v xml:space="preserve"> </v>
          </cell>
          <cell r="E60" t="str">
            <v xml:space="preserve"> </v>
          </cell>
          <cell r="F60" t="str">
            <v xml:space="preserve"> </v>
          </cell>
          <cell r="G60" t="str">
            <v xml:space="preserve"> </v>
          </cell>
          <cell r="H60" t="str">
            <v xml:space="preserve"> </v>
          </cell>
          <cell r="I60" t="str">
            <v xml:space="preserve"> </v>
          </cell>
          <cell r="J60" t="str">
            <v xml:space="preserve"> </v>
          </cell>
          <cell r="K60" t="str">
            <v xml:space="preserve"> </v>
          </cell>
          <cell r="L60" t="str">
            <v xml:space="preserve"> </v>
          </cell>
          <cell r="M60" t="str">
            <v xml:space="preserve"> </v>
          </cell>
          <cell r="N60" t="str">
            <v xml:space="preserve"> </v>
          </cell>
          <cell r="O60" t="str">
            <v xml:space="preserve"> </v>
          </cell>
          <cell r="P60" t="str">
            <v xml:space="preserve"> </v>
          </cell>
          <cell r="Q60" t="str">
            <v xml:space="preserve"> </v>
          </cell>
          <cell r="R60" t="str">
            <v xml:space="preserve"> </v>
          </cell>
          <cell r="S60" t="str">
            <v xml:space="preserve"> </v>
          </cell>
          <cell r="T60" t="str">
            <v xml:space="preserve"> </v>
          </cell>
          <cell r="U60" t="str">
            <v xml:space="preserve"> </v>
          </cell>
          <cell r="V60" t="str">
            <v xml:space="preserve"> </v>
          </cell>
          <cell r="W60" t="str">
            <v xml:space="preserve"> </v>
          </cell>
          <cell r="X60" t="str">
            <v xml:space="preserve"> </v>
          </cell>
          <cell r="Y60" t="str">
            <v xml:space="preserve"> </v>
          </cell>
          <cell r="Z60" t="str">
            <v xml:space="preserve"> </v>
          </cell>
          <cell r="AA60" t="str">
            <v xml:space="preserve"> </v>
          </cell>
          <cell r="AB60" t="str">
            <v xml:space="preserve"> </v>
          </cell>
          <cell r="AC60" t="str">
            <v xml:space="preserve"> </v>
          </cell>
          <cell r="AD60" t="str">
            <v xml:space="preserve"> </v>
          </cell>
          <cell r="AE60" t="str">
            <v xml:space="preserve"> </v>
          </cell>
          <cell r="AF60" t="str">
            <v xml:space="preserve"> </v>
          </cell>
          <cell r="AG60" t="str">
            <v xml:space="preserve"> </v>
          </cell>
          <cell r="AH60" t="str">
            <v xml:space="preserve"> </v>
          </cell>
          <cell r="AI60" t="str">
            <v xml:space="preserve"> </v>
          </cell>
          <cell r="AJ60" t="str">
            <v xml:space="preserve"> </v>
          </cell>
          <cell r="AK60" t="str">
            <v xml:space="preserve"> </v>
          </cell>
          <cell r="AL60" t="str">
            <v xml:space="preserve"> </v>
          </cell>
          <cell r="AM60" t="str">
            <v xml:space="preserve"> </v>
          </cell>
          <cell r="AN60" t="str">
            <v xml:space="preserve"> </v>
          </cell>
          <cell r="AO60" t="str">
            <v xml:space="preserve"> </v>
          </cell>
        </row>
        <row r="61">
          <cell r="A61" t="str">
            <v>16M YMON*YEPF</v>
          </cell>
          <cell r="B61" t="str">
            <v xml:space="preserve"> </v>
          </cell>
          <cell r="C61">
            <v>0.8075</v>
          </cell>
          <cell r="D61">
            <v>0.81599999999999995</v>
          </cell>
          <cell r="E61">
            <v>0.82450000000000001</v>
          </cell>
          <cell r="F61">
            <v>0.82450000000000001</v>
          </cell>
          <cell r="G61">
            <v>0.873</v>
          </cell>
          <cell r="H61">
            <v>0.873</v>
          </cell>
          <cell r="I61">
            <v>0.873</v>
          </cell>
          <cell r="J61">
            <v>0.873</v>
          </cell>
          <cell r="K61">
            <v>0.89239999999999997</v>
          </cell>
          <cell r="L61">
            <v>0.89239999999999997</v>
          </cell>
          <cell r="M61">
            <v>0.89239999999999997</v>
          </cell>
          <cell r="N61">
            <v>0.89239999999999997</v>
          </cell>
          <cell r="O61">
            <v>0.92149999999999999</v>
          </cell>
          <cell r="P61">
            <v>0.92149999999999999</v>
          </cell>
          <cell r="Q61">
            <v>0.92149999999999999</v>
          </cell>
          <cell r="R61">
            <v>0.92149999999999999</v>
          </cell>
          <cell r="S61">
            <v>0.92149999999999999</v>
          </cell>
          <cell r="T61">
            <v>0.92149999999999999</v>
          </cell>
          <cell r="U61">
            <v>0.92149999999999999</v>
          </cell>
          <cell r="V61">
            <v>0.92149999999999999</v>
          </cell>
          <cell r="W61">
            <v>0.92149999999999999</v>
          </cell>
          <cell r="X61">
            <v>0.92149999999999999</v>
          </cell>
          <cell r="Y61">
            <v>0.92149999999999999</v>
          </cell>
          <cell r="Z61">
            <v>0.92149999999999999</v>
          </cell>
          <cell r="AA61">
            <v>0.92149999999999999</v>
          </cell>
          <cell r="AB61">
            <v>0.92149999999999999</v>
          </cell>
          <cell r="AC61">
            <v>0.92149999999999999</v>
          </cell>
          <cell r="AD61">
            <v>0.92149999999999999</v>
          </cell>
          <cell r="AE61">
            <v>0.92149999999999999</v>
          </cell>
          <cell r="AF61">
            <v>0.92149999999999999</v>
          </cell>
          <cell r="AG61">
            <v>0.92149999999999999</v>
          </cell>
          <cell r="AH61">
            <v>0.92149999999999999</v>
          </cell>
          <cell r="AI61">
            <v>0.92149999999999999</v>
          </cell>
          <cell r="AJ61">
            <v>0.92149999999999999</v>
          </cell>
          <cell r="AK61">
            <v>0.92149999999999999</v>
          </cell>
          <cell r="AL61">
            <v>0.92149999999999999</v>
          </cell>
          <cell r="AM61">
            <v>0.92149999999999999</v>
          </cell>
          <cell r="AN61">
            <v>0.92149999999999999</v>
          </cell>
          <cell r="AO61">
            <v>0.92149999999999999</v>
          </cell>
        </row>
        <row r="62">
          <cell r="A62" t="str">
            <v>16M YMON*YEPF</v>
          </cell>
          <cell r="B62" t="str">
            <v xml:space="preserve"> </v>
          </cell>
          <cell r="C62">
            <v>0.8075</v>
          </cell>
          <cell r="D62">
            <v>0.81599999999999995</v>
          </cell>
          <cell r="E62">
            <v>0.82450000000000001</v>
          </cell>
          <cell r="F62">
            <v>0.82450000000000001</v>
          </cell>
          <cell r="G62">
            <v>0.873</v>
          </cell>
          <cell r="H62">
            <v>0.873</v>
          </cell>
          <cell r="I62">
            <v>0.89100000000000001</v>
          </cell>
          <cell r="J62">
            <v>0.89100000000000001</v>
          </cell>
          <cell r="K62">
            <v>0.91080000000000005</v>
          </cell>
          <cell r="L62">
            <v>0.91080000000000005</v>
          </cell>
          <cell r="M62">
            <v>0.91080000000000005</v>
          </cell>
          <cell r="N62">
            <v>0.91080000000000005</v>
          </cell>
          <cell r="O62">
            <v>0.9405</v>
          </cell>
          <cell r="P62">
            <v>0.9405</v>
          </cell>
          <cell r="Q62">
            <v>0.9405</v>
          </cell>
          <cell r="R62">
            <v>0.9405</v>
          </cell>
          <cell r="S62">
            <v>0.9405</v>
          </cell>
          <cell r="T62">
            <v>0.9405</v>
          </cell>
          <cell r="U62">
            <v>0.9405</v>
          </cell>
          <cell r="V62">
            <v>0.9405</v>
          </cell>
          <cell r="W62">
            <v>0.9405</v>
          </cell>
          <cell r="X62">
            <v>0.9405</v>
          </cell>
          <cell r="Y62">
            <v>0.9405</v>
          </cell>
          <cell r="Z62">
            <v>0.9405</v>
          </cell>
          <cell r="AA62">
            <v>0.9405</v>
          </cell>
          <cell r="AB62">
            <v>0.9405</v>
          </cell>
          <cell r="AC62">
            <v>0.9405</v>
          </cell>
          <cell r="AD62">
            <v>0.9405</v>
          </cell>
          <cell r="AE62">
            <v>0.9405</v>
          </cell>
          <cell r="AF62">
            <v>0.9405</v>
          </cell>
          <cell r="AG62">
            <v>0.9405</v>
          </cell>
          <cell r="AH62">
            <v>0.9405</v>
          </cell>
          <cell r="AI62">
            <v>0.9405</v>
          </cell>
          <cell r="AJ62">
            <v>0.9405</v>
          </cell>
          <cell r="AK62">
            <v>0.9405</v>
          </cell>
          <cell r="AL62">
            <v>0.9405</v>
          </cell>
          <cell r="AM62">
            <v>0.9405</v>
          </cell>
          <cell r="AN62">
            <v>0.9405</v>
          </cell>
          <cell r="AO62">
            <v>0.9405</v>
          </cell>
        </row>
        <row r="63">
          <cell r="A63" t="str">
            <v>64M YMON*YEPF</v>
          </cell>
          <cell r="B63" t="str">
            <v xml:space="preserve"> </v>
          </cell>
          <cell r="C63" t="str">
            <v xml:space="preserve"> </v>
          </cell>
          <cell r="D63" t="str">
            <v xml:space="preserve"> </v>
          </cell>
          <cell r="E63" t="str">
            <v xml:space="preserve"> </v>
          </cell>
          <cell r="F63" t="str">
            <v xml:space="preserve"> </v>
          </cell>
          <cell r="G63" t="str">
            <v xml:space="preserve"> </v>
          </cell>
          <cell r="H63" t="str">
            <v xml:space="preserve"> </v>
          </cell>
          <cell r="I63" t="str">
            <v xml:space="preserve"> </v>
          </cell>
          <cell r="J63" t="str">
            <v xml:space="preserve"> </v>
          </cell>
          <cell r="K63" t="str">
            <v xml:space="preserve"> </v>
          </cell>
          <cell r="L63">
            <v>0.63</v>
          </cell>
          <cell r="M63">
            <v>0.63</v>
          </cell>
          <cell r="N63">
            <v>0.64400000000000002</v>
          </cell>
          <cell r="O63">
            <v>0.79049999999999998</v>
          </cell>
          <cell r="P63">
            <v>0.79899999999999993</v>
          </cell>
          <cell r="Q63">
            <v>0.8075</v>
          </cell>
          <cell r="R63">
            <v>0.8075</v>
          </cell>
          <cell r="S63">
            <v>0.85499999999999998</v>
          </cell>
          <cell r="T63">
            <v>0.85499999999999998</v>
          </cell>
          <cell r="U63">
            <v>0.85499999999999998</v>
          </cell>
          <cell r="V63">
            <v>0.85499999999999998</v>
          </cell>
          <cell r="W63">
            <v>0.89239999999999997</v>
          </cell>
          <cell r="X63">
            <v>0.89239999999999997</v>
          </cell>
          <cell r="Y63">
            <v>0.89239999999999997</v>
          </cell>
          <cell r="Z63">
            <v>0.89239999999999997</v>
          </cell>
          <cell r="AA63">
            <v>0.92149999999999999</v>
          </cell>
          <cell r="AB63">
            <v>0.92149999999999999</v>
          </cell>
          <cell r="AC63">
            <v>0.92149999999999999</v>
          </cell>
          <cell r="AD63">
            <v>0.92149999999999999</v>
          </cell>
          <cell r="AE63">
            <v>0.92149999999999999</v>
          </cell>
          <cell r="AF63">
            <v>0.92149999999999999</v>
          </cell>
          <cell r="AG63">
            <v>0.92149999999999999</v>
          </cell>
          <cell r="AH63">
            <v>0.92149999999999999</v>
          </cell>
          <cell r="AI63">
            <v>0.92149999999999999</v>
          </cell>
          <cell r="AJ63">
            <v>0.92149999999999999</v>
          </cell>
          <cell r="AK63">
            <v>0.92149999999999999</v>
          </cell>
          <cell r="AL63">
            <v>0.92149999999999999</v>
          </cell>
          <cell r="AM63">
            <v>0.92149999999999999</v>
          </cell>
          <cell r="AN63">
            <v>0.92149999999999999</v>
          </cell>
          <cell r="AO63">
            <v>0.92149999999999999</v>
          </cell>
        </row>
        <row r="64">
          <cell r="A64" t="str">
            <v xml:space="preserve"> </v>
          </cell>
          <cell r="B64" t="str">
            <v xml:space="preserve"> </v>
          </cell>
          <cell r="C64" t="str">
            <v xml:space="preserve"> </v>
          </cell>
          <cell r="D64" t="str">
            <v xml:space="preserve"> </v>
          </cell>
          <cell r="E64" t="str">
            <v xml:space="preserve"> </v>
          </cell>
          <cell r="F64" t="str">
            <v xml:space="preserve"> </v>
          </cell>
          <cell r="G64" t="str">
            <v xml:space="preserve"> </v>
          </cell>
          <cell r="H64" t="str">
            <v xml:space="preserve"> </v>
          </cell>
          <cell r="I64" t="str">
            <v xml:space="preserve"> </v>
          </cell>
          <cell r="J64" t="str">
            <v xml:space="preserve"> </v>
          </cell>
          <cell r="K64" t="str">
            <v xml:space="preserve"> </v>
          </cell>
          <cell r="L64" t="str">
            <v xml:space="preserve"> </v>
          </cell>
          <cell r="M64" t="str">
            <v xml:space="preserve"> </v>
          </cell>
          <cell r="N64" t="str">
            <v xml:space="preserve"> </v>
          </cell>
          <cell r="O64" t="str">
            <v xml:space="preserve"> </v>
          </cell>
          <cell r="P64" t="str">
            <v xml:space="preserve"> </v>
          </cell>
          <cell r="Q64" t="str">
            <v xml:space="preserve"> </v>
          </cell>
          <cell r="R64" t="str">
            <v xml:space="preserve"> </v>
          </cell>
          <cell r="S64" t="str">
            <v xml:space="preserve"> </v>
          </cell>
          <cell r="T64" t="str">
            <v xml:space="preserve"> </v>
          </cell>
          <cell r="U64" t="str">
            <v xml:space="preserve"> </v>
          </cell>
          <cell r="V64" t="str">
            <v xml:space="preserve"> </v>
          </cell>
          <cell r="W64" t="str">
            <v xml:space="preserve"> </v>
          </cell>
          <cell r="X64" t="str">
            <v xml:space="preserve"> </v>
          </cell>
          <cell r="Y64" t="str">
            <v xml:space="preserve"> </v>
          </cell>
          <cell r="Z64" t="str">
            <v xml:space="preserve"> </v>
          </cell>
          <cell r="AA64" t="str">
            <v xml:space="preserve"> </v>
          </cell>
          <cell r="AB64" t="str">
            <v xml:space="preserve"> </v>
          </cell>
          <cell r="AC64" t="str">
            <v xml:space="preserve"> </v>
          </cell>
          <cell r="AD64" t="str">
            <v xml:space="preserve"> </v>
          </cell>
          <cell r="AE64" t="str">
            <v xml:space="preserve"> </v>
          </cell>
          <cell r="AF64" t="str">
            <v xml:space="preserve"> </v>
          </cell>
          <cell r="AG64" t="str">
            <v xml:space="preserve"> </v>
          </cell>
          <cell r="AH64" t="str">
            <v xml:space="preserve"> </v>
          </cell>
          <cell r="AI64" t="str">
            <v xml:space="preserve"> </v>
          </cell>
          <cell r="AJ64" t="str">
            <v xml:space="preserve"> </v>
          </cell>
          <cell r="AK64" t="str">
            <v xml:space="preserve"> </v>
          </cell>
          <cell r="AL64" t="str">
            <v xml:space="preserve"> </v>
          </cell>
          <cell r="AM64" t="str">
            <v xml:space="preserve"> </v>
          </cell>
          <cell r="AN64" t="str">
            <v xml:space="preserve"> </v>
          </cell>
          <cell r="AO64" t="str">
            <v xml:space="preserve"> </v>
          </cell>
        </row>
        <row r="65">
          <cell r="A65" t="str">
            <v>16M   Yges.</v>
          </cell>
          <cell r="B65" t="str">
            <v xml:space="preserve"> </v>
          </cell>
          <cell r="C65">
            <v>6.3954000000000011E-2</v>
          </cell>
          <cell r="D65">
            <v>0.24235199999999998</v>
          </cell>
          <cell r="E65">
            <v>0.38832600818181823</v>
          </cell>
          <cell r="F65">
            <v>0.51215976617969328</v>
          </cell>
          <cell r="G65">
            <v>0.60740502749999992</v>
          </cell>
          <cell r="H65">
            <v>0.63013835712630151</v>
          </cell>
          <cell r="I65">
            <v>0.68168405249999986</v>
          </cell>
          <cell r="J65">
            <v>0.70585140813559322</v>
          </cell>
          <cell r="K65">
            <v>0.74315467320952988</v>
          </cell>
          <cell r="L65">
            <v>0.73555548930498638</v>
          </cell>
          <cell r="M65">
            <v>0.74872388962962955</v>
          </cell>
          <cell r="N65">
            <v>0.76802836899027971</v>
          </cell>
          <cell r="O65">
            <v>0.79608622499999993</v>
          </cell>
          <cell r="P65">
            <v>0.79608622499999993</v>
          </cell>
          <cell r="Q65">
            <v>0.79608622499999993</v>
          </cell>
          <cell r="R65">
            <v>0.79608622499999993</v>
          </cell>
          <cell r="S65">
            <v>0.79608622499999993</v>
          </cell>
          <cell r="T65">
            <v>0.79608622499999993</v>
          </cell>
          <cell r="U65">
            <v>0.79608622499999993</v>
          </cell>
          <cell r="V65">
            <v>0.79608622499999993</v>
          </cell>
          <cell r="W65">
            <v>0.79608622499999993</v>
          </cell>
          <cell r="X65">
            <v>0.79608622499999993</v>
          </cell>
          <cell r="Y65">
            <v>0.79608622499999993</v>
          </cell>
          <cell r="Z65">
            <v>0.79608622499999993</v>
          </cell>
          <cell r="AA65">
            <v>0.79608622499999993</v>
          </cell>
          <cell r="AB65">
            <v>0.79608622499999993</v>
          </cell>
          <cell r="AC65">
            <v>0.79608622499999993</v>
          </cell>
          <cell r="AD65">
            <v>0.79608622499999993</v>
          </cell>
          <cell r="AE65">
            <v>0.79608622499999993</v>
          </cell>
          <cell r="AF65">
            <v>0.79608622499999993</v>
          </cell>
          <cell r="AG65">
            <v>0.79608622499999993</v>
          </cell>
          <cell r="AH65">
            <v>0.79608622499999993</v>
          </cell>
          <cell r="AI65">
            <v>0.79608622499999993</v>
          </cell>
          <cell r="AJ65">
            <v>0.79608622499999993</v>
          </cell>
          <cell r="AK65">
            <v>0.79608622499999993</v>
          </cell>
          <cell r="AL65">
            <v>0.79608622499999993</v>
          </cell>
          <cell r="AM65">
            <v>0.79608622499999993</v>
          </cell>
          <cell r="AN65">
            <v>0.79608622499999993</v>
          </cell>
          <cell r="AO65">
            <v>0.79608622499999993</v>
          </cell>
        </row>
        <row r="66">
          <cell r="A66" t="str">
            <v>64M   Yges</v>
          </cell>
          <cell r="B66" t="str">
            <v xml:space="preserve"> </v>
          </cell>
          <cell r="C66" t="str">
            <v xml:space="preserve"> </v>
          </cell>
          <cell r="D66" t="str">
            <v xml:space="preserve"> 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  <cell r="H66" t="str">
            <v xml:space="preserve"> </v>
          </cell>
          <cell r="I66" t="str">
            <v xml:space="preserve"> </v>
          </cell>
          <cell r="J66" t="str">
            <v xml:space="preserve"> </v>
          </cell>
          <cell r="K66" t="str">
            <v xml:space="preserve"> </v>
          </cell>
          <cell r="L66">
            <v>6.7359600000000006E-2</v>
          </cell>
          <cell r="M66">
            <v>7.8586200000000009E-2</v>
          </cell>
          <cell r="N66">
            <v>0.11731104000000002</v>
          </cell>
          <cell r="O66">
            <v>0.23790888000000004</v>
          </cell>
          <cell r="P66">
            <v>0.31600849499999994</v>
          </cell>
          <cell r="Q66">
            <v>0.41506145999999999</v>
          </cell>
          <cell r="R66">
            <v>0.46334672999999998</v>
          </cell>
          <cell r="S66">
            <v>0.53529498000000009</v>
          </cell>
          <cell r="T66">
            <v>0.58515974984797303</v>
          </cell>
          <cell r="U66">
            <v>0.60968543111229223</v>
          </cell>
          <cell r="V66">
            <v>0.64835814489673949</v>
          </cell>
          <cell r="W66">
            <v>0.69530130536859014</v>
          </cell>
          <cell r="X66">
            <v>0.7155697026633081</v>
          </cell>
          <cell r="Y66">
            <v>0.73803336191999991</v>
          </cell>
          <cell r="Z66">
            <v>0.74636052479999992</v>
          </cell>
          <cell r="AA66">
            <v>0.77069836800000002</v>
          </cell>
          <cell r="AB66">
            <v>0.77069836800000002</v>
          </cell>
          <cell r="AC66">
            <v>0.77069836800000002</v>
          </cell>
          <cell r="AD66">
            <v>0.77069836800000002</v>
          </cell>
          <cell r="AE66">
            <v>0.77069836800000002</v>
          </cell>
          <cell r="AF66">
            <v>0.77069836800000002</v>
          </cell>
          <cell r="AG66">
            <v>0.77069836800000002</v>
          </cell>
          <cell r="AH66">
            <v>0.77069836800000002</v>
          </cell>
          <cell r="AI66">
            <v>0.77069836800000002</v>
          </cell>
          <cell r="AJ66">
            <v>0.77069836800000002</v>
          </cell>
          <cell r="AK66">
            <v>0.77069836800000002</v>
          </cell>
          <cell r="AL66">
            <v>0.77069836800000002</v>
          </cell>
          <cell r="AM66">
            <v>0.77069836800000002</v>
          </cell>
          <cell r="AN66">
            <v>0.77069836800000002</v>
          </cell>
          <cell r="AO66">
            <v>0.77069836800000002</v>
          </cell>
        </row>
        <row r="67">
          <cell r="A67" t="str">
            <v xml:space="preserve"> </v>
          </cell>
          <cell r="B67" t="str">
            <v xml:space="preserve"> </v>
          </cell>
          <cell r="C67" t="str">
            <v xml:space="preserve"> </v>
          </cell>
          <cell r="D67" t="str">
            <v xml:space="preserve"> </v>
          </cell>
          <cell r="E67" t="str">
            <v xml:space="preserve"> </v>
          </cell>
          <cell r="F67" t="str">
            <v xml:space="preserve"> </v>
          </cell>
          <cell r="G67" t="str">
            <v xml:space="preserve"> </v>
          </cell>
          <cell r="H67" t="str">
            <v xml:space="preserve"> </v>
          </cell>
          <cell r="I67" t="str">
            <v xml:space="preserve"> </v>
          </cell>
          <cell r="J67" t="str">
            <v xml:space="preserve"> </v>
          </cell>
          <cell r="K67" t="str">
            <v xml:space="preserve"> </v>
          </cell>
          <cell r="L67" t="str">
            <v xml:space="preserve"> </v>
          </cell>
          <cell r="M67" t="str">
            <v xml:space="preserve"> </v>
          </cell>
          <cell r="N67" t="str">
            <v xml:space="preserve"> </v>
          </cell>
          <cell r="O67" t="str">
            <v xml:space="preserve"> </v>
          </cell>
          <cell r="P67" t="str">
            <v xml:space="preserve"> </v>
          </cell>
          <cell r="Q67" t="str">
            <v xml:space="preserve"> </v>
          </cell>
          <cell r="R67" t="str">
            <v xml:space="preserve"> </v>
          </cell>
          <cell r="S67" t="str">
            <v xml:space="preserve"> </v>
          </cell>
          <cell r="T67" t="str">
            <v xml:space="preserve"> </v>
          </cell>
          <cell r="U67" t="str">
            <v xml:space="preserve"> </v>
          </cell>
          <cell r="V67" t="str">
            <v xml:space="preserve"> </v>
          </cell>
          <cell r="W67" t="str">
            <v xml:space="preserve"> </v>
          </cell>
          <cell r="X67" t="str">
            <v xml:space="preserve"> </v>
          </cell>
          <cell r="Y67" t="str">
            <v xml:space="preserve"> </v>
          </cell>
          <cell r="Z67" t="str">
            <v xml:space="preserve"> </v>
          </cell>
          <cell r="AA67" t="str">
            <v xml:space="preserve"> </v>
          </cell>
          <cell r="AB67" t="str">
            <v xml:space="preserve"> </v>
          </cell>
          <cell r="AC67" t="str">
            <v xml:space="preserve"> </v>
          </cell>
          <cell r="AD67" t="str">
            <v xml:space="preserve"> </v>
          </cell>
          <cell r="AE67" t="str">
            <v xml:space="preserve"> </v>
          </cell>
          <cell r="AF67" t="str">
            <v xml:space="preserve"> </v>
          </cell>
          <cell r="AG67" t="str">
            <v xml:space="preserve"> </v>
          </cell>
          <cell r="AH67" t="str">
            <v xml:space="preserve"> </v>
          </cell>
          <cell r="AI67" t="str">
            <v xml:space="preserve"> </v>
          </cell>
          <cell r="AJ67" t="str">
            <v xml:space="preserve"> </v>
          </cell>
          <cell r="AK67" t="str">
            <v xml:space="preserve"> </v>
          </cell>
          <cell r="AL67" t="str">
            <v xml:space="preserve"> </v>
          </cell>
          <cell r="AM67" t="str">
            <v xml:space="preserve"> </v>
          </cell>
          <cell r="AN67" t="str">
            <v xml:space="preserve"> </v>
          </cell>
          <cell r="AO67" t="str">
            <v xml:space="preserve"> </v>
          </cell>
        </row>
        <row r="68">
          <cell r="A68" t="str">
            <v xml:space="preserve"> </v>
          </cell>
          <cell r="B68" t="str">
            <v xml:space="preserve"> </v>
          </cell>
          <cell r="C68" t="str">
            <v xml:space="preserve"> </v>
          </cell>
          <cell r="D68" t="str">
            <v xml:space="preserve"> 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  <cell r="H68" t="str">
            <v xml:space="preserve"> </v>
          </cell>
          <cell r="I68" t="str">
            <v xml:space="preserve"> </v>
          </cell>
          <cell r="J68" t="str">
            <v xml:space="preserve"> </v>
          </cell>
          <cell r="K68" t="str">
            <v xml:space="preserve"> </v>
          </cell>
          <cell r="L68" t="str">
            <v xml:space="preserve"> </v>
          </cell>
          <cell r="M68" t="str">
            <v xml:space="preserve"> </v>
          </cell>
          <cell r="N68" t="str">
            <v xml:space="preserve"> </v>
          </cell>
          <cell r="O68" t="str">
            <v xml:space="preserve"> </v>
          </cell>
          <cell r="P68" t="str">
            <v xml:space="preserve"> </v>
          </cell>
          <cell r="Q68" t="str">
            <v xml:space="preserve"> </v>
          </cell>
          <cell r="R68" t="str">
            <v xml:space="preserve"> </v>
          </cell>
          <cell r="S68" t="str">
            <v xml:space="preserve"> </v>
          </cell>
          <cell r="T68" t="str">
            <v xml:space="preserve"> </v>
          </cell>
          <cell r="U68" t="str">
            <v xml:space="preserve"> </v>
          </cell>
          <cell r="V68" t="str">
            <v xml:space="preserve"> </v>
          </cell>
          <cell r="W68" t="str">
            <v xml:space="preserve"> </v>
          </cell>
          <cell r="X68" t="str">
            <v xml:space="preserve"> </v>
          </cell>
          <cell r="Y68" t="str">
            <v xml:space="preserve"> </v>
          </cell>
          <cell r="Z68" t="str">
            <v xml:space="preserve"> </v>
          </cell>
          <cell r="AA68" t="str">
            <v xml:space="preserve"> </v>
          </cell>
          <cell r="AB68" t="str">
            <v xml:space="preserve"> </v>
          </cell>
          <cell r="AC68" t="str">
            <v xml:space="preserve"> </v>
          </cell>
          <cell r="AD68" t="str">
            <v xml:space="preserve"> </v>
          </cell>
          <cell r="AE68" t="str">
            <v xml:space="preserve"> </v>
          </cell>
          <cell r="AF68" t="str">
            <v xml:space="preserve"> </v>
          </cell>
          <cell r="AG68" t="str">
            <v xml:space="preserve"> </v>
          </cell>
          <cell r="AH68" t="str">
            <v xml:space="preserve"> </v>
          </cell>
          <cell r="AI68" t="str">
            <v xml:space="preserve"> </v>
          </cell>
          <cell r="AJ68" t="str">
            <v xml:space="preserve"> </v>
          </cell>
          <cell r="AK68" t="str">
            <v xml:space="preserve"> </v>
          </cell>
          <cell r="AL68" t="str">
            <v xml:space="preserve"> </v>
          </cell>
          <cell r="AM68" t="str">
            <v xml:space="preserve"> </v>
          </cell>
          <cell r="AN68" t="str">
            <v xml:space="preserve"> </v>
          </cell>
          <cell r="AO68" t="str">
            <v xml:space="preserve"> </v>
          </cell>
        </row>
        <row r="69">
          <cell r="A69" t="str">
            <v xml:space="preserve"> </v>
          </cell>
          <cell r="B69" t="str">
            <v xml:space="preserve"> </v>
          </cell>
          <cell r="C69" t="str">
            <v xml:space="preserve"> </v>
          </cell>
          <cell r="D69" t="str">
            <v xml:space="preserve"> </v>
          </cell>
          <cell r="E69" t="str">
            <v xml:space="preserve"> </v>
          </cell>
          <cell r="F69" t="str">
            <v xml:space="preserve"> </v>
          </cell>
          <cell r="G69" t="str">
            <v xml:space="preserve"> </v>
          </cell>
          <cell r="H69" t="str">
            <v xml:space="preserve"> </v>
          </cell>
          <cell r="I69" t="str">
            <v xml:space="preserve"> </v>
          </cell>
          <cell r="J69" t="str">
            <v xml:space="preserve"> </v>
          </cell>
          <cell r="K69" t="str">
            <v xml:space="preserve"> </v>
          </cell>
          <cell r="L69" t="str">
            <v xml:space="preserve"> </v>
          </cell>
          <cell r="M69" t="str">
            <v xml:space="preserve"> </v>
          </cell>
          <cell r="N69" t="str">
            <v xml:space="preserve"> </v>
          </cell>
          <cell r="O69" t="str">
            <v xml:space="preserve"> </v>
          </cell>
          <cell r="P69" t="str">
            <v xml:space="preserve"> </v>
          </cell>
          <cell r="Q69" t="str">
            <v xml:space="preserve"> </v>
          </cell>
          <cell r="R69" t="str">
            <v xml:space="preserve"> </v>
          </cell>
          <cell r="S69" t="str">
            <v xml:space="preserve"> </v>
          </cell>
          <cell r="T69" t="str">
            <v xml:space="preserve"> </v>
          </cell>
          <cell r="U69" t="str">
            <v xml:space="preserve"> </v>
          </cell>
          <cell r="V69" t="str">
            <v xml:space="preserve"> </v>
          </cell>
          <cell r="W69" t="str">
            <v xml:space="preserve"> </v>
          </cell>
          <cell r="X69" t="str">
            <v xml:space="preserve"> </v>
          </cell>
          <cell r="Y69" t="str">
            <v xml:space="preserve"> </v>
          </cell>
          <cell r="Z69" t="str">
            <v xml:space="preserve"> </v>
          </cell>
          <cell r="AA69" t="str">
            <v xml:space="preserve"> </v>
          </cell>
          <cell r="AB69" t="str">
            <v xml:space="preserve"> </v>
          </cell>
          <cell r="AC69" t="str">
            <v xml:space="preserve"> </v>
          </cell>
          <cell r="AD69" t="str">
            <v xml:space="preserve"> </v>
          </cell>
          <cell r="AE69" t="str">
            <v xml:space="preserve"> </v>
          </cell>
          <cell r="AF69" t="str">
            <v xml:space="preserve"> </v>
          </cell>
          <cell r="AG69" t="str">
            <v xml:space="preserve"> </v>
          </cell>
          <cell r="AH69" t="str">
            <v xml:space="preserve"> </v>
          </cell>
          <cell r="AI69" t="str">
            <v xml:space="preserve"> </v>
          </cell>
          <cell r="AJ69" t="str">
            <v xml:space="preserve"> </v>
          </cell>
          <cell r="AK69" t="str">
            <v xml:space="preserve"> </v>
          </cell>
          <cell r="AL69" t="str">
            <v xml:space="preserve"> </v>
          </cell>
          <cell r="AM69" t="str">
            <v xml:space="preserve"> </v>
          </cell>
          <cell r="AN69" t="str">
            <v xml:space="preserve"> </v>
          </cell>
          <cell r="AO69" t="str">
            <v xml:space="preserve"> </v>
          </cell>
        </row>
        <row r="70">
          <cell r="A70" t="str">
            <v xml:space="preserve"> </v>
          </cell>
          <cell r="B70" t="str">
            <v xml:space="preserve"> </v>
          </cell>
          <cell r="C70" t="str">
            <v xml:space="preserve"> </v>
          </cell>
          <cell r="D70" t="str">
            <v xml:space="preserve"> </v>
          </cell>
          <cell r="E70" t="str">
            <v xml:space="preserve"> </v>
          </cell>
          <cell r="F70" t="str">
            <v xml:space="preserve"> </v>
          </cell>
          <cell r="G70" t="str">
            <v xml:space="preserve"> </v>
          </cell>
          <cell r="H70" t="str">
            <v xml:space="preserve"> </v>
          </cell>
          <cell r="I70" t="str">
            <v xml:space="preserve"> </v>
          </cell>
          <cell r="J70" t="str">
            <v xml:space="preserve"> </v>
          </cell>
          <cell r="K70" t="str">
            <v xml:space="preserve"> </v>
          </cell>
          <cell r="L70" t="str">
            <v xml:space="preserve"> </v>
          </cell>
          <cell r="M70" t="str">
            <v xml:space="preserve"> </v>
          </cell>
          <cell r="N70" t="str">
            <v xml:space="preserve"> </v>
          </cell>
          <cell r="O70" t="str">
            <v xml:space="preserve"> </v>
          </cell>
          <cell r="P70" t="str">
            <v xml:space="preserve"> </v>
          </cell>
          <cell r="Q70" t="str">
            <v xml:space="preserve"> </v>
          </cell>
          <cell r="R70" t="str">
            <v xml:space="preserve"> </v>
          </cell>
          <cell r="S70" t="str">
            <v xml:space="preserve"> </v>
          </cell>
          <cell r="T70" t="str">
            <v xml:space="preserve"> </v>
          </cell>
          <cell r="U70" t="str">
            <v xml:space="preserve"> </v>
          </cell>
          <cell r="V70" t="str">
            <v xml:space="preserve"> </v>
          </cell>
          <cell r="W70" t="str">
            <v xml:space="preserve"> </v>
          </cell>
          <cell r="X70" t="str">
            <v xml:space="preserve"> </v>
          </cell>
          <cell r="Y70" t="str">
            <v xml:space="preserve"> </v>
          </cell>
          <cell r="Z70" t="str">
            <v xml:space="preserve"> </v>
          </cell>
          <cell r="AA70" t="str">
            <v xml:space="preserve"> </v>
          </cell>
          <cell r="AB70" t="str">
            <v xml:space="preserve"> </v>
          </cell>
          <cell r="AC70" t="str">
            <v xml:space="preserve"> </v>
          </cell>
          <cell r="AD70" t="str">
            <v xml:space="preserve"> </v>
          </cell>
          <cell r="AE70" t="str">
            <v xml:space="preserve"> </v>
          </cell>
          <cell r="AF70" t="str">
            <v xml:space="preserve"> </v>
          </cell>
          <cell r="AG70" t="str">
            <v xml:space="preserve"> </v>
          </cell>
          <cell r="AH70" t="str">
            <v xml:space="preserve"> </v>
          </cell>
          <cell r="AI70" t="str">
            <v xml:space="preserve"> </v>
          </cell>
          <cell r="AJ70" t="str">
            <v xml:space="preserve"> </v>
          </cell>
          <cell r="AK70" t="str">
            <v xml:space="preserve"> </v>
          </cell>
          <cell r="AL70" t="str">
            <v xml:space="preserve"> </v>
          </cell>
          <cell r="AM70" t="str">
            <v xml:space="preserve"> </v>
          </cell>
          <cell r="AN70" t="str">
            <v xml:space="preserve"> </v>
          </cell>
          <cell r="AO70" t="str">
            <v xml:space="preserve"> </v>
          </cell>
        </row>
        <row r="71">
          <cell r="A71" t="str">
            <v xml:space="preserve"> </v>
          </cell>
          <cell r="B71" t="str">
            <v xml:space="preserve"> </v>
          </cell>
          <cell r="C71" t="str">
            <v xml:space="preserve"> </v>
          </cell>
          <cell r="D71" t="str">
            <v xml:space="preserve"> </v>
          </cell>
          <cell r="E71" t="str">
            <v xml:space="preserve"> </v>
          </cell>
          <cell r="F71" t="str">
            <v xml:space="preserve"> </v>
          </cell>
          <cell r="G71" t="str">
            <v xml:space="preserve"> </v>
          </cell>
          <cell r="H71" t="str">
            <v xml:space="preserve"> </v>
          </cell>
          <cell r="I71" t="str">
            <v xml:space="preserve"> </v>
          </cell>
          <cell r="J71" t="str">
            <v xml:space="preserve"> </v>
          </cell>
          <cell r="K71" t="str">
            <v xml:space="preserve"> </v>
          </cell>
          <cell r="L71" t="str">
            <v xml:space="preserve"> </v>
          </cell>
          <cell r="M71" t="str">
            <v xml:space="preserve"> </v>
          </cell>
          <cell r="N71" t="str">
            <v xml:space="preserve"> </v>
          </cell>
          <cell r="O71" t="str">
            <v xml:space="preserve"> </v>
          </cell>
          <cell r="P71" t="str">
            <v xml:space="preserve"> </v>
          </cell>
          <cell r="Q71" t="str">
            <v xml:space="preserve"> </v>
          </cell>
          <cell r="R71" t="str">
            <v xml:space="preserve"> </v>
          </cell>
          <cell r="S71" t="str">
            <v xml:space="preserve"> </v>
          </cell>
          <cell r="T71" t="str">
            <v xml:space="preserve"> </v>
          </cell>
          <cell r="U71" t="str">
            <v xml:space="preserve"> </v>
          </cell>
          <cell r="V71" t="str">
            <v xml:space="preserve"> </v>
          </cell>
          <cell r="W71" t="str">
            <v xml:space="preserve"> </v>
          </cell>
          <cell r="X71" t="str">
            <v xml:space="preserve"> </v>
          </cell>
          <cell r="Y71" t="str">
            <v xml:space="preserve"> </v>
          </cell>
          <cell r="Z71" t="str">
            <v xml:space="preserve"> </v>
          </cell>
          <cell r="AA71" t="str">
            <v xml:space="preserve"> </v>
          </cell>
          <cell r="AB71" t="str">
            <v xml:space="preserve"> </v>
          </cell>
          <cell r="AC71" t="str">
            <v xml:space="preserve"> </v>
          </cell>
          <cell r="AD71" t="str">
            <v xml:space="preserve"> </v>
          </cell>
          <cell r="AE71" t="str">
            <v xml:space="preserve"> </v>
          </cell>
          <cell r="AF71" t="str">
            <v xml:space="preserve"> </v>
          </cell>
          <cell r="AG71" t="str">
            <v xml:space="preserve"> </v>
          </cell>
          <cell r="AH71" t="str">
            <v xml:space="preserve"> </v>
          </cell>
          <cell r="AI71" t="str">
            <v xml:space="preserve"> </v>
          </cell>
          <cell r="AJ71" t="str">
            <v xml:space="preserve"> </v>
          </cell>
          <cell r="AK71" t="str">
            <v xml:space="preserve"> </v>
          </cell>
          <cell r="AL71" t="str">
            <v xml:space="preserve"> </v>
          </cell>
          <cell r="AM71" t="str">
            <v xml:space="preserve"> </v>
          </cell>
          <cell r="AN71" t="str">
            <v xml:space="preserve"> </v>
          </cell>
          <cell r="AO71" t="str">
            <v xml:space="preserve"> </v>
          </cell>
        </row>
        <row r="72">
          <cell r="A72" t="str">
            <v xml:space="preserve"> </v>
          </cell>
          <cell r="B72" t="str">
            <v xml:space="preserve"> </v>
          </cell>
          <cell r="C72" t="str">
            <v xml:space="preserve"> </v>
          </cell>
          <cell r="D72" t="str">
            <v xml:space="preserve"> </v>
          </cell>
          <cell r="E72" t="str">
            <v xml:space="preserve"> </v>
          </cell>
          <cell r="F72" t="str">
            <v xml:space="preserve"> </v>
          </cell>
          <cell r="G72" t="str">
            <v xml:space="preserve"> </v>
          </cell>
          <cell r="H72" t="str">
            <v xml:space="preserve"> </v>
          </cell>
          <cell r="I72" t="str">
            <v xml:space="preserve"> </v>
          </cell>
          <cell r="J72" t="str">
            <v xml:space="preserve"> </v>
          </cell>
          <cell r="K72" t="str">
            <v xml:space="preserve"> </v>
          </cell>
          <cell r="L72" t="str">
            <v xml:space="preserve"> </v>
          </cell>
          <cell r="M72" t="str">
            <v xml:space="preserve"> </v>
          </cell>
          <cell r="N72" t="str">
            <v xml:space="preserve"> </v>
          </cell>
          <cell r="O72" t="str">
            <v xml:space="preserve"> </v>
          </cell>
          <cell r="P72" t="str">
            <v xml:space="preserve"> </v>
          </cell>
          <cell r="Q72" t="str">
            <v xml:space="preserve"> </v>
          </cell>
          <cell r="R72" t="str">
            <v xml:space="preserve"> </v>
          </cell>
          <cell r="S72" t="str">
            <v xml:space="preserve"> </v>
          </cell>
          <cell r="T72" t="str">
            <v xml:space="preserve"> </v>
          </cell>
          <cell r="U72" t="str">
            <v xml:space="preserve"> </v>
          </cell>
          <cell r="V72" t="str">
            <v xml:space="preserve"> </v>
          </cell>
          <cell r="W72" t="str">
            <v xml:space="preserve"> </v>
          </cell>
          <cell r="X72" t="str">
            <v xml:space="preserve"> </v>
          </cell>
          <cell r="Y72" t="str">
            <v xml:space="preserve"> </v>
          </cell>
          <cell r="Z72" t="str">
            <v xml:space="preserve"> </v>
          </cell>
          <cell r="AA72" t="str">
            <v xml:space="preserve"> </v>
          </cell>
          <cell r="AB72" t="str">
            <v xml:space="preserve"> </v>
          </cell>
          <cell r="AC72" t="str">
            <v xml:space="preserve"> </v>
          </cell>
          <cell r="AD72" t="str">
            <v xml:space="preserve"> </v>
          </cell>
          <cell r="AE72" t="str">
            <v xml:space="preserve"> </v>
          </cell>
          <cell r="AF72" t="str">
            <v xml:space="preserve"> </v>
          </cell>
          <cell r="AG72" t="str">
            <v xml:space="preserve"> </v>
          </cell>
          <cell r="AH72" t="str">
            <v xml:space="preserve"> </v>
          </cell>
          <cell r="AI72" t="str">
            <v xml:space="preserve"> </v>
          </cell>
          <cell r="AJ72" t="str">
            <v xml:space="preserve"> </v>
          </cell>
          <cell r="AK72" t="str">
            <v xml:space="preserve"> </v>
          </cell>
          <cell r="AL72" t="str">
            <v xml:space="preserve"> </v>
          </cell>
          <cell r="AM72" t="str">
            <v xml:space="preserve"> </v>
          </cell>
          <cell r="AN72" t="str">
            <v xml:space="preserve"> </v>
          </cell>
          <cell r="AO72" t="str">
            <v xml:space="preserve"> </v>
          </cell>
        </row>
        <row r="73">
          <cell r="A73" t="str">
            <v xml:space="preserve"> </v>
          </cell>
          <cell r="B73" t="str">
            <v xml:space="preserve"> </v>
          </cell>
          <cell r="C73" t="str">
            <v xml:space="preserve"> </v>
          </cell>
          <cell r="D73" t="str">
            <v xml:space="preserve"> </v>
          </cell>
          <cell r="E73" t="str">
            <v xml:space="preserve"> </v>
          </cell>
          <cell r="F73" t="str">
            <v xml:space="preserve"> </v>
          </cell>
          <cell r="G73" t="str">
            <v xml:space="preserve"> </v>
          </cell>
          <cell r="H73" t="str">
            <v xml:space="preserve"> </v>
          </cell>
          <cell r="I73" t="str">
            <v xml:space="preserve"> </v>
          </cell>
          <cell r="J73" t="str">
            <v xml:space="preserve"> </v>
          </cell>
          <cell r="K73" t="str">
            <v xml:space="preserve"> </v>
          </cell>
          <cell r="L73" t="str">
            <v xml:space="preserve"> </v>
          </cell>
          <cell r="M73" t="str">
            <v xml:space="preserve"> </v>
          </cell>
          <cell r="N73" t="str">
            <v xml:space="preserve"> </v>
          </cell>
          <cell r="O73" t="str">
            <v xml:space="preserve"> </v>
          </cell>
          <cell r="P73" t="str">
            <v xml:space="preserve"> </v>
          </cell>
          <cell r="Q73" t="str">
            <v xml:space="preserve"> </v>
          </cell>
          <cell r="R73" t="str">
            <v xml:space="preserve"> </v>
          </cell>
          <cell r="S73" t="str">
            <v xml:space="preserve"> </v>
          </cell>
          <cell r="T73" t="str">
            <v xml:space="preserve"> </v>
          </cell>
          <cell r="U73" t="str">
            <v xml:space="preserve"> </v>
          </cell>
          <cell r="V73" t="str">
            <v xml:space="preserve"> 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  <cell r="Z73" t="str">
            <v xml:space="preserve"> </v>
          </cell>
          <cell r="AA73" t="str">
            <v xml:space="preserve"> </v>
          </cell>
          <cell r="AB73" t="str">
            <v xml:space="preserve"> </v>
          </cell>
          <cell r="AC73" t="str">
            <v xml:space="preserve"> </v>
          </cell>
          <cell r="AD73" t="str">
            <v xml:space="preserve"> </v>
          </cell>
          <cell r="AE73" t="str">
            <v xml:space="preserve"> </v>
          </cell>
          <cell r="AF73" t="str">
            <v xml:space="preserve"> </v>
          </cell>
          <cell r="AG73" t="str">
            <v xml:space="preserve"> </v>
          </cell>
          <cell r="AH73" t="str">
            <v xml:space="preserve"> </v>
          </cell>
          <cell r="AI73" t="str">
            <v xml:space="preserve"> </v>
          </cell>
          <cell r="AJ73" t="str">
            <v xml:space="preserve"> </v>
          </cell>
          <cell r="AK73" t="str">
            <v xml:space="preserve"> </v>
          </cell>
          <cell r="AL73" t="str">
            <v xml:space="preserve"> </v>
          </cell>
          <cell r="AM73" t="str">
            <v xml:space="preserve"> </v>
          </cell>
          <cell r="AN73" t="str">
            <v xml:space="preserve"> </v>
          </cell>
          <cell r="AO73" t="str">
            <v xml:space="preserve"> </v>
          </cell>
        </row>
        <row r="74">
          <cell r="A74" t="str">
            <v xml:space="preserve"> </v>
          </cell>
          <cell r="B74" t="str">
            <v xml:space="preserve"> </v>
          </cell>
          <cell r="C74" t="str">
            <v xml:space="preserve"> </v>
          </cell>
          <cell r="D74" t="str">
            <v xml:space="preserve"> </v>
          </cell>
          <cell r="E74" t="str">
            <v xml:space="preserve"> </v>
          </cell>
          <cell r="F74" t="str">
            <v xml:space="preserve"> </v>
          </cell>
          <cell r="G74" t="str">
            <v xml:space="preserve"> </v>
          </cell>
          <cell r="H74" t="str">
            <v xml:space="preserve"> </v>
          </cell>
          <cell r="I74" t="str">
            <v xml:space="preserve"> </v>
          </cell>
          <cell r="J74" t="str">
            <v xml:space="preserve"> </v>
          </cell>
          <cell r="K74" t="str">
            <v xml:space="preserve"> </v>
          </cell>
          <cell r="L74" t="str">
            <v xml:space="preserve"> </v>
          </cell>
          <cell r="M74" t="str">
            <v xml:space="preserve"> </v>
          </cell>
          <cell r="N74" t="str">
            <v xml:space="preserve"> </v>
          </cell>
          <cell r="O74" t="str">
            <v xml:space="preserve"> </v>
          </cell>
          <cell r="P74" t="str">
            <v xml:space="preserve"> </v>
          </cell>
          <cell r="Q74" t="str">
            <v xml:space="preserve"> </v>
          </cell>
          <cell r="R74" t="str">
            <v xml:space="preserve"> </v>
          </cell>
          <cell r="S74" t="str">
            <v xml:space="preserve"> </v>
          </cell>
          <cell r="T74" t="str">
            <v xml:space="preserve"> </v>
          </cell>
          <cell r="U74" t="str">
            <v xml:space="preserve"> </v>
          </cell>
          <cell r="V74" t="str">
            <v xml:space="preserve"> </v>
          </cell>
          <cell r="W74" t="str">
            <v xml:space="preserve"> </v>
          </cell>
          <cell r="X74" t="str">
            <v xml:space="preserve"> </v>
          </cell>
          <cell r="Y74" t="str">
            <v xml:space="preserve"> </v>
          </cell>
          <cell r="Z74" t="str">
            <v xml:space="preserve"> </v>
          </cell>
          <cell r="AA74" t="str">
            <v xml:space="preserve"> </v>
          </cell>
          <cell r="AB74" t="str">
            <v xml:space="preserve"> </v>
          </cell>
          <cell r="AC74" t="str">
            <v xml:space="preserve"> </v>
          </cell>
          <cell r="AD74" t="str">
            <v xml:space="preserve"> </v>
          </cell>
          <cell r="AE74" t="str">
            <v xml:space="preserve"> </v>
          </cell>
          <cell r="AF74" t="str">
            <v xml:space="preserve"> </v>
          </cell>
          <cell r="AG74" t="str">
            <v xml:space="preserve"> </v>
          </cell>
          <cell r="AH74" t="str">
            <v xml:space="preserve"> </v>
          </cell>
          <cell r="AI74" t="str">
            <v xml:space="preserve"> </v>
          </cell>
          <cell r="AJ74" t="str">
            <v xml:space="preserve"> </v>
          </cell>
          <cell r="AK74" t="str">
            <v xml:space="preserve"> </v>
          </cell>
          <cell r="AL74" t="str">
            <v xml:space="preserve"> </v>
          </cell>
          <cell r="AM74" t="str">
            <v xml:space="preserve"> </v>
          </cell>
          <cell r="AN74" t="str">
            <v xml:space="preserve"> </v>
          </cell>
          <cell r="AO74" t="str">
            <v xml:space="preserve"> </v>
          </cell>
        </row>
        <row r="75">
          <cell r="A75" t="str">
            <v xml:space="preserve"> </v>
          </cell>
          <cell r="B75" t="str">
            <v xml:space="preserve"> </v>
          </cell>
          <cell r="C75" t="str">
            <v xml:space="preserve"> </v>
          </cell>
          <cell r="D75" t="str">
            <v xml:space="preserve"> </v>
          </cell>
          <cell r="E75" t="str">
            <v xml:space="preserve"> </v>
          </cell>
          <cell r="F75" t="str">
            <v xml:space="preserve"> </v>
          </cell>
          <cell r="G75" t="str">
            <v xml:space="preserve"> </v>
          </cell>
          <cell r="H75" t="str">
            <v xml:space="preserve"> </v>
          </cell>
          <cell r="I75" t="str">
            <v xml:space="preserve"> </v>
          </cell>
          <cell r="J75" t="str">
            <v xml:space="preserve"> </v>
          </cell>
          <cell r="K75" t="str">
            <v xml:space="preserve"> </v>
          </cell>
          <cell r="L75" t="str">
            <v xml:space="preserve"> </v>
          </cell>
          <cell r="M75" t="str">
            <v xml:space="preserve"> </v>
          </cell>
          <cell r="N75" t="str">
            <v xml:space="preserve"> </v>
          </cell>
          <cell r="O75" t="str">
            <v xml:space="preserve"> </v>
          </cell>
          <cell r="P75" t="str">
            <v xml:space="preserve"> </v>
          </cell>
          <cell r="Q75" t="str">
            <v xml:space="preserve"> </v>
          </cell>
          <cell r="R75" t="str">
            <v xml:space="preserve"> </v>
          </cell>
          <cell r="S75" t="str">
            <v xml:space="preserve"> </v>
          </cell>
          <cell r="T75" t="str">
            <v xml:space="preserve"> </v>
          </cell>
          <cell r="U75" t="str">
            <v xml:space="preserve"> </v>
          </cell>
          <cell r="V75" t="str">
            <v xml:space="preserve"> </v>
          </cell>
          <cell r="W75" t="str">
            <v xml:space="preserve"> </v>
          </cell>
          <cell r="X75" t="str">
            <v xml:space="preserve"> </v>
          </cell>
          <cell r="Y75" t="str">
            <v xml:space="preserve"> </v>
          </cell>
          <cell r="Z75" t="str">
            <v xml:space="preserve"> </v>
          </cell>
          <cell r="AA75" t="str">
            <v xml:space="preserve"> </v>
          </cell>
          <cell r="AB75" t="str">
            <v xml:space="preserve"> </v>
          </cell>
          <cell r="AC75" t="str">
            <v xml:space="preserve"> </v>
          </cell>
          <cell r="AD75" t="str">
            <v xml:space="preserve"> </v>
          </cell>
          <cell r="AE75" t="str">
            <v xml:space="preserve"> </v>
          </cell>
          <cell r="AF75" t="str">
            <v xml:space="preserve"> </v>
          </cell>
          <cell r="AG75" t="str">
            <v xml:space="preserve"> </v>
          </cell>
          <cell r="AH75" t="str">
            <v xml:space="preserve"> </v>
          </cell>
          <cell r="AI75" t="str">
            <v xml:space="preserve"> </v>
          </cell>
          <cell r="AJ75" t="str">
            <v xml:space="preserve"> </v>
          </cell>
          <cell r="AK75" t="str">
            <v xml:space="preserve"> </v>
          </cell>
          <cell r="AL75" t="str">
            <v xml:space="preserve"> </v>
          </cell>
          <cell r="AM75" t="str">
            <v xml:space="preserve"> </v>
          </cell>
          <cell r="AN75" t="str">
            <v xml:space="preserve"> </v>
          </cell>
          <cell r="AO75" t="str">
            <v xml:space="preserve"> </v>
          </cell>
        </row>
        <row r="76">
          <cell r="A76" t="str">
            <v xml:space="preserve"> </v>
          </cell>
          <cell r="B76" t="str">
            <v xml:space="preserve"> </v>
          </cell>
          <cell r="C76" t="str">
            <v xml:space="preserve"> </v>
          </cell>
          <cell r="D76" t="str">
            <v xml:space="preserve"> </v>
          </cell>
          <cell r="E76" t="str">
            <v xml:space="preserve"> </v>
          </cell>
          <cell r="F76" t="str">
            <v xml:space="preserve"> </v>
          </cell>
          <cell r="G76" t="str">
            <v xml:space="preserve"> </v>
          </cell>
          <cell r="H76" t="str">
            <v xml:space="preserve"> </v>
          </cell>
          <cell r="I76" t="str">
            <v xml:space="preserve"> </v>
          </cell>
          <cell r="J76" t="str">
            <v xml:space="preserve"> </v>
          </cell>
          <cell r="K76" t="str">
            <v xml:space="preserve"> </v>
          </cell>
          <cell r="L76" t="str">
            <v xml:space="preserve"> </v>
          </cell>
          <cell r="M76" t="str">
            <v xml:space="preserve"> </v>
          </cell>
          <cell r="N76" t="str">
            <v xml:space="preserve"> </v>
          </cell>
          <cell r="O76" t="str">
            <v xml:space="preserve"> </v>
          </cell>
          <cell r="P76" t="str">
            <v xml:space="preserve"> </v>
          </cell>
          <cell r="Q76" t="str">
            <v xml:space="preserve"> </v>
          </cell>
          <cell r="R76" t="str">
            <v xml:space="preserve"> </v>
          </cell>
          <cell r="S76" t="str">
            <v xml:space="preserve"> </v>
          </cell>
          <cell r="T76" t="str">
            <v xml:space="preserve"> </v>
          </cell>
          <cell r="U76" t="str">
            <v xml:space="preserve"> </v>
          </cell>
          <cell r="V76" t="str">
            <v xml:space="preserve"> </v>
          </cell>
          <cell r="W76" t="str">
            <v xml:space="preserve"> </v>
          </cell>
          <cell r="X76" t="str">
            <v xml:space="preserve"> </v>
          </cell>
          <cell r="Y76" t="str">
            <v xml:space="preserve"> </v>
          </cell>
          <cell r="Z76" t="str">
            <v xml:space="preserve"> </v>
          </cell>
          <cell r="AA76" t="str">
            <v xml:space="preserve"> </v>
          </cell>
          <cell r="AB76" t="str">
            <v xml:space="preserve"> </v>
          </cell>
          <cell r="AC76" t="str">
            <v xml:space="preserve"> </v>
          </cell>
          <cell r="AD76" t="str">
            <v xml:space="preserve"> </v>
          </cell>
          <cell r="AE76" t="str">
            <v xml:space="preserve"> </v>
          </cell>
          <cell r="AF76" t="str">
            <v xml:space="preserve"> </v>
          </cell>
          <cell r="AG76" t="str">
            <v xml:space="preserve"> </v>
          </cell>
          <cell r="AH76" t="str">
            <v xml:space="preserve"> </v>
          </cell>
          <cell r="AI76" t="str">
            <v xml:space="preserve"> </v>
          </cell>
          <cell r="AJ76" t="str">
            <v xml:space="preserve"> </v>
          </cell>
          <cell r="AK76" t="str">
            <v xml:space="preserve"> </v>
          </cell>
          <cell r="AL76" t="str">
            <v xml:space="preserve"> </v>
          </cell>
          <cell r="AM76" t="str">
            <v xml:space="preserve"> </v>
          </cell>
          <cell r="AN76" t="str">
            <v xml:space="preserve"> </v>
          </cell>
          <cell r="AO76" t="str">
            <v xml:space="preserve"> </v>
          </cell>
        </row>
        <row r="77">
          <cell r="A77" t="str">
            <v xml:space="preserve"> </v>
          </cell>
          <cell r="B77" t="str">
            <v xml:space="preserve"> </v>
          </cell>
          <cell r="C77" t="str">
            <v xml:space="preserve"> </v>
          </cell>
          <cell r="D77" t="str">
            <v xml:space="preserve"> </v>
          </cell>
          <cell r="E77" t="str">
            <v xml:space="preserve"> </v>
          </cell>
          <cell r="F77" t="str">
            <v xml:space="preserve"> </v>
          </cell>
          <cell r="G77" t="str">
            <v xml:space="preserve"> </v>
          </cell>
          <cell r="H77" t="str">
            <v xml:space="preserve"> </v>
          </cell>
          <cell r="I77" t="str">
            <v xml:space="preserve"> </v>
          </cell>
          <cell r="J77" t="str">
            <v xml:space="preserve"> </v>
          </cell>
          <cell r="K77" t="str">
            <v xml:space="preserve"> </v>
          </cell>
          <cell r="L77" t="str">
            <v xml:space="preserve"> </v>
          </cell>
          <cell r="M77" t="str">
            <v xml:space="preserve"> </v>
          </cell>
          <cell r="N77" t="str">
            <v xml:space="preserve"> </v>
          </cell>
          <cell r="O77" t="str">
            <v xml:space="preserve"> </v>
          </cell>
          <cell r="P77" t="str">
            <v xml:space="preserve"> </v>
          </cell>
          <cell r="Q77" t="str">
            <v xml:space="preserve"> </v>
          </cell>
          <cell r="R77" t="str">
            <v xml:space="preserve"> </v>
          </cell>
          <cell r="S77" t="str">
            <v xml:space="preserve"> </v>
          </cell>
          <cell r="T77" t="str">
            <v xml:space="preserve"> </v>
          </cell>
          <cell r="U77" t="str">
            <v xml:space="preserve"> </v>
          </cell>
          <cell r="V77" t="str">
            <v xml:space="preserve"> </v>
          </cell>
          <cell r="W77" t="str">
            <v xml:space="preserve"> </v>
          </cell>
          <cell r="X77" t="str">
            <v xml:space="preserve"> </v>
          </cell>
          <cell r="Y77" t="str">
            <v xml:space="preserve"> </v>
          </cell>
          <cell r="Z77" t="str">
            <v xml:space="preserve"> </v>
          </cell>
          <cell r="AA77" t="str">
            <v xml:space="preserve"> </v>
          </cell>
          <cell r="AB77" t="str">
            <v xml:space="preserve"> </v>
          </cell>
          <cell r="AC77" t="str">
            <v xml:space="preserve"> </v>
          </cell>
          <cell r="AD77" t="str">
            <v xml:space="preserve"> </v>
          </cell>
          <cell r="AE77" t="str">
            <v xml:space="preserve"> </v>
          </cell>
          <cell r="AF77" t="str">
            <v xml:space="preserve"> </v>
          </cell>
          <cell r="AG77" t="str">
            <v xml:space="preserve"> </v>
          </cell>
          <cell r="AH77" t="str">
            <v xml:space="preserve"> </v>
          </cell>
          <cell r="AI77" t="str">
            <v xml:space="preserve"> </v>
          </cell>
          <cell r="AJ77" t="str">
            <v xml:space="preserve"> </v>
          </cell>
          <cell r="AK77" t="str">
            <v xml:space="preserve"> </v>
          </cell>
          <cell r="AL77" t="str">
            <v xml:space="preserve"> </v>
          </cell>
          <cell r="AM77" t="str">
            <v xml:space="preserve"> </v>
          </cell>
          <cell r="AN77" t="str">
            <v xml:space="preserve"> </v>
          </cell>
          <cell r="AO77" t="str">
            <v xml:space="preserve"> </v>
          </cell>
        </row>
        <row r="78">
          <cell r="A78" t="str">
            <v xml:space="preserve"> </v>
          </cell>
          <cell r="B78" t="str">
            <v xml:space="preserve"> </v>
          </cell>
          <cell r="C78" t="str">
            <v xml:space="preserve"> </v>
          </cell>
          <cell r="D78" t="str">
            <v xml:space="preserve"> </v>
          </cell>
          <cell r="E78" t="str">
            <v xml:space="preserve"> </v>
          </cell>
          <cell r="F78" t="str">
            <v xml:space="preserve"> </v>
          </cell>
          <cell r="G78" t="str">
            <v xml:space="preserve"> </v>
          </cell>
          <cell r="H78" t="str">
            <v xml:space="preserve"> </v>
          </cell>
          <cell r="I78" t="str">
            <v xml:space="preserve"> </v>
          </cell>
          <cell r="J78" t="str">
            <v xml:space="preserve"> </v>
          </cell>
          <cell r="K78" t="str">
            <v xml:space="preserve"> </v>
          </cell>
          <cell r="L78" t="str">
            <v xml:space="preserve"> </v>
          </cell>
          <cell r="M78" t="str">
            <v xml:space="preserve"> </v>
          </cell>
          <cell r="N78" t="str">
            <v xml:space="preserve"> </v>
          </cell>
          <cell r="O78" t="str">
            <v xml:space="preserve"> </v>
          </cell>
          <cell r="P78" t="str">
            <v xml:space="preserve"> </v>
          </cell>
          <cell r="Q78" t="str">
            <v xml:space="preserve"> </v>
          </cell>
          <cell r="R78" t="str">
            <v xml:space="preserve"> </v>
          </cell>
          <cell r="S78" t="str">
            <v xml:space="preserve"> </v>
          </cell>
          <cell r="T78" t="str">
            <v xml:space="preserve"> </v>
          </cell>
          <cell r="U78" t="str">
            <v xml:space="preserve"> </v>
          </cell>
          <cell r="V78" t="str">
            <v xml:space="preserve"> </v>
          </cell>
          <cell r="W78" t="str">
            <v xml:space="preserve"> </v>
          </cell>
          <cell r="X78" t="str">
            <v xml:space="preserve"> </v>
          </cell>
          <cell r="Y78" t="str">
            <v xml:space="preserve"> </v>
          </cell>
          <cell r="Z78" t="str">
            <v xml:space="preserve"> </v>
          </cell>
          <cell r="AA78" t="str">
            <v xml:space="preserve"> </v>
          </cell>
          <cell r="AB78" t="str">
            <v xml:space="preserve"> </v>
          </cell>
          <cell r="AC78" t="str">
            <v xml:space="preserve"> </v>
          </cell>
          <cell r="AD78" t="str">
            <v xml:space="preserve"> </v>
          </cell>
          <cell r="AE78" t="str">
            <v xml:space="preserve"> </v>
          </cell>
          <cell r="AF78" t="str">
            <v xml:space="preserve"> </v>
          </cell>
          <cell r="AG78" t="str">
            <v xml:space="preserve"> </v>
          </cell>
          <cell r="AH78" t="str">
            <v xml:space="preserve"> </v>
          </cell>
          <cell r="AI78" t="str">
            <v xml:space="preserve"> </v>
          </cell>
          <cell r="AJ78" t="str">
            <v xml:space="preserve"> </v>
          </cell>
          <cell r="AK78" t="str">
            <v xml:space="preserve"> </v>
          </cell>
          <cell r="AL78" t="str">
            <v xml:space="preserve"> </v>
          </cell>
          <cell r="AM78" t="str">
            <v xml:space="preserve"> </v>
          </cell>
          <cell r="AN78" t="str">
            <v xml:space="preserve"> </v>
          </cell>
          <cell r="AO78" t="str">
            <v xml:space="preserve"> </v>
          </cell>
        </row>
        <row r="79">
          <cell r="A79" t="str">
            <v xml:space="preserve"> </v>
          </cell>
          <cell r="B79" t="str">
            <v xml:space="preserve"> </v>
          </cell>
          <cell r="C79" t="str">
            <v xml:space="preserve"> </v>
          </cell>
          <cell r="D79" t="str">
            <v xml:space="preserve"> </v>
          </cell>
          <cell r="E79" t="str">
            <v xml:space="preserve"> </v>
          </cell>
          <cell r="F79" t="str">
            <v xml:space="preserve"> </v>
          </cell>
          <cell r="G79" t="str">
            <v xml:space="preserve"> </v>
          </cell>
          <cell r="H79" t="str">
            <v xml:space="preserve"> </v>
          </cell>
          <cell r="I79" t="str">
            <v xml:space="preserve"> </v>
          </cell>
          <cell r="J79" t="str">
            <v xml:space="preserve"> </v>
          </cell>
          <cell r="K79" t="str">
            <v xml:space="preserve"> </v>
          </cell>
          <cell r="L79" t="str">
            <v xml:space="preserve"> </v>
          </cell>
          <cell r="M79" t="str">
            <v xml:space="preserve"> </v>
          </cell>
          <cell r="N79" t="str">
            <v xml:space="preserve"> </v>
          </cell>
          <cell r="O79" t="str">
            <v xml:space="preserve"> </v>
          </cell>
          <cell r="P79" t="str">
            <v xml:space="preserve"> </v>
          </cell>
          <cell r="Q79" t="str">
            <v xml:space="preserve"> </v>
          </cell>
          <cell r="R79" t="str">
            <v xml:space="preserve"> </v>
          </cell>
          <cell r="S79" t="str">
            <v xml:space="preserve"> </v>
          </cell>
          <cell r="T79" t="str">
            <v xml:space="preserve"> </v>
          </cell>
          <cell r="U79" t="str">
            <v xml:space="preserve"> </v>
          </cell>
          <cell r="V79" t="str">
            <v xml:space="preserve"> </v>
          </cell>
          <cell r="W79" t="str">
            <v xml:space="preserve"> </v>
          </cell>
          <cell r="X79" t="str">
            <v xml:space="preserve"> </v>
          </cell>
          <cell r="Y79" t="str">
            <v xml:space="preserve"> </v>
          </cell>
          <cell r="Z79" t="str">
            <v xml:space="preserve"> </v>
          </cell>
          <cell r="AA79" t="str">
            <v xml:space="preserve"> </v>
          </cell>
          <cell r="AB79" t="str">
            <v xml:space="preserve"> </v>
          </cell>
          <cell r="AC79" t="str">
            <v xml:space="preserve"> </v>
          </cell>
          <cell r="AD79" t="str">
            <v xml:space="preserve"> </v>
          </cell>
          <cell r="AE79" t="str">
            <v xml:space="preserve"> </v>
          </cell>
          <cell r="AF79" t="str">
            <v xml:space="preserve"> </v>
          </cell>
          <cell r="AG79" t="str">
            <v xml:space="preserve"> </v>
          </cell>
          <cell r="AH79" t="str">
            <v xml:space="preserve"> </v>
          </cell>
          <cell r="AI79" t="str">
            <v xml:space="preserve"> </v>
          </cell>
          <cell r="AJ79" t="str">
            <v xml:space="preserve"> </v>
          </cell>
          <cell r="AK79" t="str">
            <v xml:space="preserve"> </v>
          </cell>
          <cell r="AL79" t="str">
            <v xml:space="preserve"> </v>
          </cell>
          <cell r="AM79" t="str">
            <v xml:space="preserve"> </v>
          </cell>
          <cell r="AN79" t="str">
            <v xml:space="preserve"> </v>
          </cell>
          <cell r="AO79" t="str">
            <v xml:space="preserve"> </v>
          </cell>
        </row>
        <row r="80">
          <cell r="A80" t="str">
            <v xml:space="preserve"> </v>
          </cell>
          <cell r="B80" t="str">
            <v xml:space="preserve"> </v>
          </cell>
          <cell r="C80" t="str">
            <v xml:space="preserve"> </v>
          </cell>
          <cell r="D80" t="str">
            <v xml:space="preserve"> </v>
          </cell>
          <cell r="E80" t="str">
            <v xml:space="preserve"> </v>
          </cell>
          <cell r="F80" t="str">
            <v xml:space="preserve"> </v>
          </cell>
          <cell r="G80" t="str">
            <v xml:space="preserve"> </v>
          </cell>
          <cell r="H80" t="str">
            <v xml:space="preserve"> </v>
          </cell>
          <cell r="I80" t="str">
            <v xml:space="preserve"> </v>
          </cell>
          <cell r="J80" t="str">
            <v xml:space="preserve"> </v>
          </cell>
          <cell r="K80" t="str">
            <v xml:space="preserve"> 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 t="str">
            <v xml:space="preserve"> </v>
          </cell>
          <cell r="P80" t="str">
            <v xml:space="preserve"> </v>
          </cell>
          <cell r="Q80" t="str">
            <v xml:space="preserve"> </v>
          </cell>
          <cell r="R80" t="str">
            <v xml:space="preserve"> 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  <cell r="Z80" t="str">
            <v xml:space="preserve"> </v>
          </cell>
          <cell r="AA80" t="str">
            <v xml:space="preserve"> </v>
          </cell>
          <cell r="AB80" t="str">
            <v xml:space="preserve"> </v>
          </cell>
          <cell r="AC80" t="str">
            <v xml:space="preserve"> </v>
          </cell>
          <cell r="AD80" t="str">
            <v xml:space="preserve"> </v>
          </cell>
          <cell r="AE80" t="str">
            <v xml:space="preserve"> </v>
          </cell>
          <cell r="AF80" t="str">
            <v xml:space="preserve"> </v>
          </cell>
          <cell r="AG80" t="str">
            <v xml:space="preserve"> </v>
          </cell>
          <cell r="AH80" t="str">
            <v xml:space="preserve"> </v>
          </cell>
          <cell r="AI80" t="str">
            <v xml:space="preserve"> </v>
          </cell>
          <cell r="AJ80" t="str">
            <v xml:space="preserve"> </v>
          </cell>
          <cell r="AK80" t="str">
            <v xml:space="preserve"> </v>
          </cell>
          <cell r="AL80" t="str">
            <v xml:space="preserve"> </v>
          </cell>
          <cell r="AM80" t="str">
            <v xml:space="preserve"> </v>
          </cell>
          <cell r="AN80" t="str">
            <v xml:space="preserve"> </v>
          </cell>
          <cell r="AO80" t="str">
            <v xml:space="preserve"> </v>
          </cell>
        </row>
        <row r="81">
          <cell r="A81" t="str">
            <v xml:space="preserve"> </v>
          </cell>
          <cell r="B81" t="str">
            <v xml:space="preserve"> </v>
          </cell>
          <cell r="C81" t="str">
            <v xml:space="preserve"> </v>
          </cell>
          <cell r="D81" t="str">
            <v xml:space="preserve"> </v>
          </cell>
          <cell r="E81" t="str">
            <v xml:space="preserve"> </v>
          </cell>
          <cell r="F81" t="str">
            <v xml:space="preserve"> </v>
          </cell>
          <cell r="G81" t="str">
            <v xml:space="preserve"> </v>
          </cell>
          <cell r="H81" t="str">
            <v xml:space="preserve"> </v>
          </cell>
          <cell r="I81" t="str">
            <v xml:space="preserve"> </v>
          </cell>
          <cell r="J81" t="str">
            <v xml:space="preserve"> </v>
          </cell>
          <cell r="K81" t="str">
            <v xml:space="preserve"> </v>
          </cell>
          <cell r="L81" t="str">
            <v xml:space="preserve"> </v>
          </cell>
          <cell r="M81" t="str">
            <v xml:space="preserve"> </v>
          </cell>
          <cell r="N81" t="str">
            <v xml:space="preserve"> </v>
          </cell>
          <cell r="O81" t="str">
            <v xml:space="preserve"> </v>
          </cell>
          <cell r="P81" t="str">
            <v xml:space="preserve"> </v>
          </cell>
          <cell r="Q81" t="str">
            <v xml:space="preserve"> </v>
          </cell>
          <cell r="R81" t="str">
            <v xml:space="preserve"> </v>
          </cell>
          <cell r="S81" t="str">
            <v xml:space="preserve"> </v>
          </cell>
          <cell r="T81" t="str">
            <v xml:space="preserve"> </v>
          </cell>
          <cell r="U81" t="str">
            <v xml:space="preserve"> </v>
          </cell>
          <cell r="V81" t="str">
            <v xml:space="preserve"> </v>
          </cell>
          <cell r="W81" t="str">
            <v xml:space="preserve"> </v>
          </cell>
          <cell r="X81" t="str">
            <v xml:space="preserve"> </v>
          </cell>
          <cell r="Y81" t="str">
            <v xml:space="preserve"> </v>
          </cell>
          <cell r="Z81" t="str">
            <v xml:space="preserve"> </v>
          </cell>
          <cell r="AA81" t="str">
            <v xml:space="preserve"> </v>
          </cell>
          <cell r="AB81" t="str">
            <v xml:space="preserve"> </v>
          </cell>
          <cell r="AC81" t="str">
            <v xml:space="preserve"> </v>
          </cell>
          <cell r="AD81" t="str">
            <v xml:space="preserve"> </v>
          </cell>
          <cell r="AE81" t="str">
            <v xml:space="preserve"> </v>
          </cell>
          <cell r="AF81" t="str">
            <v xml:space="preserve"> </v>
          </cell>
          <cell r="AG81" t="str">
            <v xml:space="preserve"> </v>
          </cell>
          <cell r="AH81" t="str">
            <v xml:space="preserve"> </v>
          </cell>
          <cell r="AI81" t="str">
            <v xml:space="preserve"> </v>
          </cell>
          <cell r="AJ81" t="str">
            <v xml:space="preserve"> </v>
          </cell>
          <cell r="AK81" t="str">
            <v xml:space="preserve"> </v>
          </cell>
          <cell r="AL81" t="str">
            <v xml:space="preserve"> </v>
          </cell>
          <cell r="AM81" t="str">
            <v xml:space="preserve"> </v>
          </cell>
          <cell r="AN81" t="str">
            <v xml:space="preserve"> </v>
          </cell>
          <cell r="AO81" t="str">
            <v xml:space="preserve"> </v>
          </cell>
        </row>
        <row r="82">
          <cell r="A82" t="str">
            <v xml:space="preserve"> </v>
          </cell>
          <cell r="B82" t="str">
            <v xml:space="preserve"> </v>
          </cell>
          <cell r="C82" t="str">
            <v xml:space="preserve"> </v>
          </cell>
          <cell r="D82" t="str">
            <v xml:space="preserve"> </v>
          </cell>
          <cell r="E82" t="str">
            <v xml:space="preserve"> </v>
          </cell>
          <cell r="F82" t="str">
            <v xml:space="preserve"> </v>
          </cell>
          <cell r="G82" t="str">
            <v xml:space="preserve"> </v>
          </cell>
          <cell r="H82" t="str">
            <v xml:space="preserve"> </v>
          </cell>
          <cell r="I82" t="str">
            <v xml:space="preserve"> </v>
          </cell>
          <cell r="J82" t="str">
            <v xml:space="preserve"> </v>
          </cell>
          <cell r="K82" t="str">
            <v xml:space="preserve"> </v>
          </cell>
          <cell r="L82" t="str">
            <v xml:space="preserve"> </v>
          </cell>
          <cell r="M82" t="str">
            <v xml:space="preserve"> </v>
          </cell>
          <cell r="N82" t="str">
            <v xml:space="preserve"> </v>
          </cell>
          <cell r="O82" t="str">
            <v xml:space="preserve"> </v>
          </cell>
          <cell r="P82" t="str">
            <v xml:space="preserve"> </v>
          </cell>
          <cell r="Q82" t="str">
            <v xml:space="preserve"> </v>
          </cell>
          <cell r="R82" t="str">
            <v xml:space="preserve"> 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  <cell r="Z82" t="str">
            <v xml:space="preserve"> </v>
          </cell>
          <cell r="AA82" t="str">
            <v xml:space="preserve"> </v>
          </cell>
          <cell r="AB82" t="str">
            <v xml:space="preserve"> </v>
          </cell>
          <cell r="AC82" t="str">
            <v xml:space="preserve"> </v>
          </cell>
          <cell r="AD82" t="str">
            <v xml:space="preserve"> </v>
          </cell>
          <cell r="AE82" t="str">
            <v xml:space="preserve"> </v>
          </cell>
          <cell r="AF82" t="str">
            <v xml:space="preserve"> </v>
          </cell>
          <cell r="AG82" t="str">
            <v xml:space="preserve"> </v>
          </cell>
          <cell r="AH82" t="str">
            <v xml:space="preserve"> </v>
          </cell>
          <cell r="AI82" t="str">
            <v xml:space="preserve"> </v>
          </cell>
          <cell r="AJ82" t="str">
            <v xml:space="preserve"> </v>
          </cell>
          <cell r="AK82" t="str">
            <v xml:space="preserve"> </v>
          </cell>
          <cell r="AL82" t="str">
            <v xml:space="preserve"> </v>
          </cell>
          <cell r="AM82" t="str">
            <v xml:space="preserve"> </v>
          </cell>
          <cell r="AN82" t="str">
            <v xml:space="preserve"> </v>
          </cell>
          <cell r="AO82" t="str">
            <v xml:space="preserve"> </v>
          </cell>
        </row>
        <row r="83">
          <cell r="A83" t="str">
            <v xml:space="preserve"> </v>
          </cell>
          <cell r="B83" t="str">
            <v xml:space="preserve"> </v>
          </cell>
          <cell r="C83" t="str">
            <v xml:space="preserve"> </v>
          </cell>
          <cell r="D83" t="str">
            <v xml:space="preserve"> </v>
          </cell>
          <cell r="E83" t="str">
            <v xml:space="preserve"> </v>
          </cell>
          <cell r="F83" t="str">
            <v xml:space="preserve"> </v>
          </cell>
          <cell r="G83" t="str">
            <v xml:space="preserve"> </v>
          </cell>
          <cell r="H83" t="str">
            <v xml:space="preserve"> </v>
          </cell>
          <cell r="I83" t="str">
            <v xml:space="preserve"> </v>
          </cell>
          <cell r="J83" t="str">
            <v xml:space="preserve"> </v>
          </cell>
          <cell r="K83" t="str">
            <v xml:space="preserve"> </v>
          </cell>
          <cell r="L83" t="str">
            <v xml:space="preserve"> </v>
          </cell>
          <cell r="M83" t="str">
            <v xml:space="preserve"> </v>
          </cell>
          <cell r="N83" t="str">
            <v xml:space="preserve"> </v>
          </cell>
          <cell r="O83" t="str">
            <v xml:space="preserve"> </v>
          </cell>
          <cell r="P83" t="str">
            <v xml:space="preserve"> </v>
          </cell>
          <cell r="Q83" t="str">
            <v xml:space="preserve"> </v>
          </cell>
          <cell r="R83" t="str">
            <v xml:space="preserve"> </v>
          </cell>
          <cell r="S83" t="str">
            <v xml:space="preserve"> </v>
          </cell>
          <cell r="T83" t="str">
            <v xml:space="preserve"> </v>
          </cell>
          <cell r="U83" t="str">
            <v xml:space="preserve"> </v>
          </cell>
          <cell r="V83" t="str">
            <v xml:space="preserve"> </v>
          </cell>
          <cell r="W83" t="str">
            <v xml:space="preserve"> </v>
          </cell>
          <cell r="X83" t="str">
            <v xml:space="preserve"> </v>
          </cell>
          <cell r="Y83" t="str">
            <v xml:space="preserve"> </v>
          </cell>
          <cell r="Z83" t="str">
            <v xml:space="preserve"> </v>
          </cell>
          <cell r="AA83" t="str">
            <v xml:space="preserve"> </v>
          </cell>
          <cell r="AB83" t="str">
            <v xml:space="preserve"> </v>
          </cell>
          <cell r="AC83" t="str">
            <v xml:space="preserve"> </v>
          </cell>
          <cell r="AD83" t="str">
            <v xml:space="preserve"> </v>
          </cell>
          <cell r="AE83" t="str">
            <v xml:space="preserve"> </v>
          </cell>
          <cell r="AF83" t="str">
            <v xml:space="preserve"> </v>
          </cell>
          <cell r="AG83" t="str">
            <v xml:space="preserve"> </v>
          </cell>
          <cell r="AH83" t="str">
            <v xml:space="preserve"> </v>
          </cell>
          <cell r="AI83" t="str">
            <v xml:space="preserve"> </v>
          </cell>
          <cell r="AJ83" t="str">
            <v xml:space="preserve"> </v>
          </cell>
          <cell r="AK83" t="str">
            <v xml:space="preserve"> </v>
          </cell>
          <cell r="AL83" t="str">
            <v xml:space="preserve"> </v>
          </cell>
          <cell r="AM83" t="str">
            <v xml:space="preserve"> </v>
          </cell>
          <cell r="AN83" t="str">
            <v xml:space="preserve"> </v>
          </cell>
          <cell r="AO83" t="str">
            <v xml:space="preserve"> </v>
          </cell>
        </row>
        <row r="84">
          <cell r="A84" t="str">
            <v xml:space="preserve"> </v>
          </cell>
          <cell r="B84" t="str">
            <v xml:space="preserve"> </v>
          </cell>
          <cell r="C84" t="str">
            <v xml:space="preserve"> </v>
          </cell>
          <cell r="D84" t="str">
            <v xml:space="preserve"> </v>
          </cell>
          <cell r="E84" t="str">
            <v xml:space="preserve"> </v>
          </cell>
          <cell r="F84" t="str">
            <v xml:space="preserve"> </v>
          </cell>
          <cell r="G84" t="str">
            <v xml:space="preserve"> </v>
          </cell>
          <cell r="H84" t="str">
            <v xml:space="preserve"> </v>
          </cell>
          <cell r="I84" t="str">
            <v xml:space="preserve"> </v>
          </cell>
          <cell r="J84" t="str">
            <v xml:space="preserve"> </v>
          </cell>
          <cell r="K84" t="str">
            <v xml:space="preserve"> </v>
          </cell>
          <cell r="L84" t="str">
            <v xml:space="preserve"> </v>
          </cell>
          <cell r="M84" t="str">
            <v xml:space="preserve"> </v>
          </cell>
          <cell r="N84" t="str">
            <v xml:space="preserve"> </v>
          </cell>
          <cell r="O84" t="str">
            <v xml:space="preserve"> </v>
          </cell>
          <cell r="P84" t="str">
            <v xml:space="preserve"> </v>
          </cell>
          <cell r="Q84" t="str">
            <v xml:space="preserve"> </v>
          </cell>
          <cell r="R84" t="str">
            <v xml:space="preserve"> </v>
          </cell>
          <cell r="S84" t="str">
            <v xml:space="preserve"> </v>
          </cell>
          <cell r="T84" t="str">
            <v xml:space="preserve"> </v>
          </cell>
          <cell r="U84" t="str">
            <v xml:space="preserve"> </v>
          </cell>
          <cell r="V84" t="str">
            <v xml:space="preserve"> </v>
          </cell>
          <cell r="W84" t="str">
            <v xml:space="preserve"> </v>
          </cell>
          <cell r="X84" t="str">
            <v xml:space="preserve"> </v>
          </cell>
          <cell r="Y84" t="str">
            <v xml:space="preserve"> </v>
          </cell>
          <cell r="Z84" t="str">
            <v xml:space="preserve"> </v>
          </cell>
          <cell r="AA84" t="str">
            <v xml:space="preserve"> </v>
          </cell>
          <cell r="AB84" t="str">
            <v xml:space="preserve"> </v>
          </cell>
          <cell r="AC84" t="str">
            <v xml:space="preserve"> </v>
          </cell>
          <cell r="AD84" t="str">
            <v xml:space="preserve"> </v>
          </cell>
          <cell r="AE84" t="str">
            <v xml:space="preserve"> </v>
          </cell>
          <cell r="AF84" t="str">
            <v xml:space="preserve"> </v>
          </cell>
          <cell r="AG84" t="str">
            <v xml:space="preserve"> </v>
          </cell>
          <cell r="AH84" t="str">
            <v xml:space="preserve"> </v>
          </cell>
          <cell r="AI84" t="str">
            <v xml:space="preserve"> </v>
          </cell>
          <cell r="AJ84" t="str">
            <v xml:space="preserve"> </v>
          </cell>
          <cell r="AK84" t="str">
            <v xml:space="preserve"> </v>
          </cell>
          <cell r="AL84" t="str">
            <v xml:space="preserve"> </v>
          </cell>
          <cell r="AM84" t="str">
            <v xml:space="preserve"> </v>
          </cell>
          <cell r="AN84" t="str">
            <v xml:space="preserve"> </v>
          </cell>
          <cell r="AO84" t="str">
            <v xml:space="preserve"> </v>
          </cell>
        </row>
        <row r="85">
          <cell r="A85" t="str">
            <v xml:space="preserve"> </v>
          </cell>
          <cell r="B85" t="str">
            <v xml:space="preserve"> </v>
          </cell>
          <cell r="C85" t="str">
            <v xml:space="preserve"> </v>
          </cell>
          <cell r="D85" t="str">
            <v xml:space="preserve"> </v>
          </cell>
          <cell r="E85" t="str">
            <v xml:space="preserve"> </v>
          </cell>
          <cell r="F85" t="str">
            <v xml:space="preserve"> </v>
          </cell>
          <cell r="G85" t="str">
            <v xml:space="preserve"> </v>
          </cell>
          <cell r="H85" t="str">
            <v xml:space="preserve"> </v>
          </cell>
          <cell r="I85" t="str">
            <v xml:space="preserve"> </v>
          </cell>
          <cell r="J85" t="str">
            <v xml:space="preserve"> </v>
          </cell>
          <cell r="K85" t="str">
            <v xml:space="preserve"> </v>
          </cell>
          <cell r="L85" t="str">
            <v xml:space="preserve"> </v>
          </cell>
          <cell r="M85" t="str">
            <v xml:space="preserve"> </v>
          </cell>
          <cell r="N85" t="str">
            <v xml:space="preserve"> </v>
          </cell>
          <cell r="O85" t="str">
            <v xml:space="preserve"> </v>
          </cell>
          <cell r="P85" t="str">
            <v xml:space="preserve"> </v>
          </cell>
          <cell r="Q85" t="str">
            <v xml:space="preserve"> </v>
          </cell>
          <cell r="R85" t="str">
            <v xml:space="preserve"> </v>
          </cell>
          <cell r="S85" t="str">
            <v xml:space="preserve"> </v>
          </cell>
          <cell r="T85" t="str">
            <v xml:space="preserve"> </v>
          </cell>
          <cell r="U85" t="str">
            <v xml:space="preserve"> </v>
          </cell>
          <cell r="V85" t="str">
            <v xml:space="preserve"> </v>
          </cell>
          <cell r="W85" t="str">
            <v xml:space="preserve"> </v>
          </cell>
          <cell r="X85" t="str">
            <v xml:space="preserve"> </v>
          </cell>
          <cell r="Y85" t="str">
            <v xml:space="preserve"> </v>
          </cell>
          <cell r="Z85" t="str">
            <v xml:space="preserve"> </v>
          </cell>
          <cell r="AA85" t="str">
            <v xml:space="preserve"> </v>
          </cell>
          <cell r="AB85" t="str">
            <v xml:space="preserve"> </v>
          </cell>
          <cell r="AC85" t="str">
            <v xml:space="preserve"> </v>
          </cell>
          <cell r="AD85" t="str">
            <v xml:space="preserve"> </v>
          </cell>
          <cell r="AE85" t="str">
            <v xml:space="preserve"> </v>
          </cell>
          <cell r="AF85" t="str">
            <v xml:space="preserve"> </v>
          </cell>
          <cell r="AG85" t="str">
            <v xml:space="preserve"> </v>
          </cell>
          <cell r="AH85" t="str">
            <v xml:space="preserve"> </v>
          </cell>
          <cell r="AI85" t="str">
            <v xml:space="preserve"> </v>
          </cell>
          <cell r="AJ85" t="str">
            <v xml:space="preserve"> </v>
          </cell>
          <cell r="AK85" t="str">
            <v xml:space="preserve"> </v>
          </cell>
          <cell r="AL85" t="str">
            <v xml:space="preserve"> </v>
          </cell>
          <cell r="AM85" t="str">
            <v xml:space="preserve"> </v>
          </cell>
          <cell r="AN85" t="str">
            <v xml:space="preserve"> </v>
          </cell>
          <cell r="AO85" t="str">
            <v xml:space="preserve"> </v>
          </cell>
        </row>
        <row r="86">
          <cell r="A86" t="str">
            <v xml:space="preserve"> </v>
          </cell>
          <cell r="B86" t="str">
            <v xml:space="preserve"> </v>
          </cell>
          <cell r="C86" t="str">
            <v xml:space="preserve"> </v>
          </cell>
          <cell r="D86" t="str">
            <v xml:space="preserve"> </v>
          </cell>
          <cell r="E86" t="str">
            <v xml:space="preserve"> </v>
          </cell>
          <cell r="F86" t="str">
            <v xml:space="preserve"> </v>
          </cell>
          <cell r="G86" t="str">
            <v xml:space="preserve"> </v>
          </cell>
          <cell r="H86" t="str">
            <v xml:space="preserve"> </v>
          </cell>
          <cell r="I86" t="str">
            <v xml:space="preserve"> </v>
          </cell>
          <cell r="J86" t="str">
            <v xml:space="preserve"> </v>
          </cell>
          <cell r="K86" t="str">
            <v xml:space="preserve"> </v>
          </cell>
          <cell r="L86" t="str">
            <v xml:space="preserve"> </v>
          </cell>
          <cell r="M86" t="str">
            <v xml:space="preserve"> </v>
          </cell>
          <cell r="N86" t="str">
            <v xml:space="preserve"> </v>
          </cell>
          <cell r="O86" t="str">
            <v xml:space="preserve"> </v>
          </cell>
          <cell r="P86" t="str">
            <v xml:space="preserve"> </v>
          </cell>
          <cell r="Q86" t="str">
            <v xml:space="preserve"> </v>
          </cell>
          <cell r="R86" t="str">
            <v xml:space="preserve"> </v>
          </cell>
          <cell r="S86" t="str">
            <v xml:space="preserve"> </v>
          </cell>
          <cell r="T86" t="str">
            <v xml:space="preserve"> </v>
          </cell>
          <cell r="U86" t="str">
            <v xml:space="preserve"> </v>
          </cell>
          <cell r="V86" t="str">
            <v xml:space="preserve"> </v>
          </cell>
          <cell r="W86" t="str">
            <v xml:space="preserve"> </v>
          </cell>
          <cell r="X86" t="str">
            <v xml:space="preserve"> </v>
          </cell>
          <cell r="Y86" t="str">
            <v xml:space="preserve"> </v>
          </cell>
          <cell r="Z86" t="str">
            <v xml:space="preserve"> </v>
          </cell>
          <cell r="AA86" t="str">
            <v xml:space="preserve"> </v>
          </cell>
          <cell r="AB86" t="str">
            <v xml:space="preserve"> </v>
          </cell>
          <cell r="AC86" t="str">
            <v xml:space="preserve"> </v>
          </cell>
          <cell r="AD86" t="str">
            <v xml:space="preserve"> </v>
          </cell>
          <cell r="AE86" t="str">
            <v xml:space="preserve"> </v>
          </cell>
          <cell r="AF86" t="str">
            <v xml:space="preserve"> </v>
          </cell>
          <cell r="AG86" t="str">
            <v xml:space="preserve"> </v>
          </cell>
          <cell r="AH86" t="str">
            <v xml:space="preserve"> </v>
          </cell>
          <cell r="AI86" t="str">
            <v xml:space="preserve"> </v>
          </cell>
          <cell r="AJ86" t="str">
            <v xml:space="preserve"> </v>
          </cell>
          <cell r="AK86" t="str">
            <v xml:space="preserve"> </v>
          </cell>
          <cell r="AL86" t="str">
            <v xml:space="preserve"> </v>
          </cell>
          <cell r="AM86" t="str">
            <v xml:space="preserve"> </v>
          </cell>
          <cell r="AN86" t="str">
            <v xml:space="preserve"> </v>
          </cell>
          <cell r="AO86" t="str">
            <v xml:space="preserve"> </v>
          </cell>
        </row>
        <row r="87">
          <cell r="A87" t="str">
            <v xml:space="preserve"> </v>
          </cell>
          <cell r="B87" t="str">
            <v xml:space="preserve"> </v>
          </cell>
          <cell r="C87" t="str">
            <v xml:space="preserve"> </v>
          </cell>
          <cell r="D87" t="str">
            <v xml:space="preserve"> </v>
          </cell>
          <cell r="E87" t="str">
            <v xml:space="preserve"> </v>
          </cell>
          <cell r="F87" t="str">
            <v xml:space="preserve"> </v>
          </cell>
          <cell r="G87" t="str">
            <v xml:space="preserve"> </v>
          </cell>
          <cell r="H87" t="str">
            <v xml:space="preserve"> </v>
          </cell>
          <cell r="I87" t="str">
            <v xml:space="preserve"> </v>
          </cell>
          <cell r="J87" t="str">
            <v xml:space="preserve"> </v>
          </cell>
          <cell r="K87" t="str">
            <v xml:space="preserve"> </v>
          </cell>
          <cell r="L87" t="str">
            <v xml:space="preserve"> </v>
          </cell>
          <cell r="M87" t="str">
            <v xml:space="preserve"> </v>
          </cell>
          <cell r="N87" t="str">
            <v xml:space="preserve"> </v>
          </cell>
          <cell r="O87" t="str">
            <v xml:space="preserve"> </v>
          </cell>
          <cell r="P87" t="str">
            <v xml:space="preserve"> </v>
          </cell>
          <cell r="Q87" t="str">
            <v xml:space="preserve"> </v>
          </cell>
          <cell r="R87" t="str">
            <v xml:space="preserve"> </v>
          </cell>
          <cell r="S87" t="str">
            <v xml:space="preserve"> </v>
          </cell>
          <cell r="T87" t="str">
            <v xml:space="preserve"> </v>
          </cell>
          <cell r="U87" t="str">
            <v xml:space="preserve"> </v>
          </cell>
          <cell r="V87" t="str">
            <v xml:space="preserve"> </v>
          </cell>
          <cell r="W87" t="str">
            <v xml:space="preserve"> </v>
          </cell>
          <cell r="X87" t="str">
            <v xml:space="preserve"> </v>
          </cell>
          <cell r="Y87" t="str">
            <v xml:space="preserve"> </v>
          </cell>
          <cell r="Z87" t="str">
            <v xml:space="preserve"> </v>
          </cell>
          <cell r="AA87" t="str">
            <v xml:space="preserve"> </v>
          </cell>
          <cell r="AB87" t="str">
            <v xml:space="preserve"> </v>
          </cell>
          <cell r="AC87" t="str">
            <v xml:space="preserve"> </v>
          </cell>
          <cell r="AD87" t="str">
            <v xml:space="preserve"> </v>
          </cell>
          <cell r="AE87" t="str">
            <v xml:space="preserve"> </v>
          </cell>
          <cell r="AF87" t="str">
            <v xml:space="preserve"> </v>
          </cell>
          <cell r="AG87" t="str">
            <v xml:space="preserve"> </v>
          </cell>
          <cell r="AH87" t="str">
            <v xml:space="preserve"> </v>
          </cell>
          <cell r="AI87" t="str">
            <v xml:space="preserve"> </v>
          </cell>
          <cell r="AJ87" t="str">
            <v xml:space="preserve"> </v>
          </cell>
          <cell r="AK87" t="str">
            <v xml:space="preserve"> </v>
          </cell>
          <cell r="AL87" t="str">
            <v xml:space="preserve"> </v>
          </cell>
          <cell r="AM87" t="str">
            <v xml:space="preserve"> </v>
          </cell>
          <cell r="AN87" t="str">
            <v xml:space="preserve"> </v>
          </cell>
          <cell r="AO87" t="str">
            <v xml:space="preserve"> </v>
          </cell>
        </row>
        <row r="88">
          <cell r="A88" t="str">
            <v xml:space="preserve"> </v>
          </cell>
          <cell r="B88" t="str">
            <v xml:space="preserve"> </v>
          </cell>
          <cell r="C88" t="str">
            <v xml:space="preserve"> </v>
          </cell>
          <cell r="D88" t="str">
            <v xml:space="preserve"> </v>
          </cell>
          <cell r="E88" t="str">
            <v xml:space="preserve"> </v>
          </cell>
          <cell r="F88" t="str">
            <v xml:space="preserve"> </v>
          </cell>
          <cell r="G88" t="str">
            <v xml:space="preserve"> </v>
          </cell>
          <cell r="H88" t="str">
            <v xml:space="preserve"> </v>
          </cell>
          <cell r="I88" t="str">
            <v xml:space="preserve"> </v>
          </cell>
          <cell r="J88" t="str">
            <v xml:space="preserve"> </v>
          </cell>
          <cell r="K88" t="str">
            <v xml:space="preserve"> </v>
          </cell>
          <cell r="L88" t="str">
            <v xml:space="preserve"> </v>
          </cell>
          <cell r="M88" t="str">
            <v xml:space="preserve"> </v>
          </cell>
          <cell r="N88" t="str">
            <v xml:space="preserve"> </v>
          </cell>
          <cell r="O88" t="str">
            <v xml:space="preserve"> </v>
          </cell>
          <cell r="P88" t="str">
            <v xml:space="preserve"> </v>
          </cell>
          <cell r="Q88" t="str">
            <v xml:space="preserve"> </v>
          </cell>
          <cell r="R88" t="str">
            <v xml:space="preserve"> </v>
          </cell>
          <cell r="S88" t="str">
            <v xml:space="preserve"> </v>
          </cell>
          <cell r="T88" t="str">
            <v xml:space="preserve"> </v>
          </cell>
          <cell r="U88" t="str">
            <v xml:space="preserve"> </v>
          </cell>
          <cell r="V88" t="str">
            <v xml:space="preserve"> </v>
          </cell>
          <cell r="W88" t="str">
            <v xml:space="preserve"> </v>
          </cell>
          <cell r="X88" t="str">
            <v xml:space="preserve"> </v>
          </cell>
          <cell r="Y88" t="str">
            <v xml:space="preserve"> </v>
          </cell>
          <cell r="Z88" t="str">
            <v xml:space="preserve"> </v>
          </cell>
          <cell r="AA88" t="str">
            <v xml:space="preserve"> </v>
          </cell>
          <cell r="AB88" t="str">
            <v xml:space="preserve"> </v>
          </cell>
          <cell r="AC88" t="str">
            <v xml:space="preserve"> </v>
          </cell>
          <cell r="AD88" t="str">
            <v xml:space="preserve"> </v>
          </cell>
          <cell r="AE88" t="str">
            <v xml:space="preserve"> </v>
          </cell>
          <cell r="AF88" t="str">
            <v xml:space="preserve"> </v>
          </cell>
          <cell r="AG88" t="str">
            <v xml:space="preserve"> </v>
          </cell>
          <cell r="AH88" t="str">
            <v xml:space="preserve"> </v>
          </cell>
          <cell r="AI88" t="str">
            <v xml:space="preserve"> </v>
          </cell>
          <cell r="AJ88" t="str">
            <v xml:space="preserve"> </v>
          </cell>
          <cell r="AK88" t="str">
            <v xml:space="preserve"> </v>
          </cell>
          <cell r="AL88" t="str">
            <v xml:space="preserve"> </v>
          </cell>
          <cell r="AM88" t="str">
            <v xml:space="preserve"> </v>
          </cell>
          <cell r="AN88" t="str">
            <v xml:space="preserve"> </v>
          </cell>
          <cell r="AO88" t="str">
            <v xml:space="preserve"> </v>
          </cell>
        </row>
        <row r="89">
          <cell r="A89" t="str">
            <v xml:space="preserve"> </v>
          </cell>
          <cell r="B89" t="str">
            <v xml:space="preserve"> </v>
          </cell>
          <cell r="C89" t="str">
            <v xml:space="preserve"> </v>
          </cell>
          <cell r="D89" t="str">
            <v xml:space="preserve"> </v>
          </cell>
          <cell r="E89" t="str">
            <v xml:space="preserve"> </v>
          </cell>
          <cell r="F89" t="str">
            <v xml:space="preserve"> </v>
          </cell>
          <cell r="G89" t="str">
            <v xml:space="preserve"> </v>
          </cell>
          <cell r="H89" t="str">
            <v xml:space="preserve"> </v>
          </cell>
          <cell r="I89" t="str">
            <v xml:space="preserve"> </v>
          </cell>
          <cell r="J89" t="str">
            <v xml:space="preserve"> </v>
          </cell>
          <cell r="K89" t="str">
            <v xml:space="preserve"> </v>
          </cell>
          <cell r="L89" t="str">
            <v xml:space="preserve"> </v>
          </cell>
          <cell r="M89" t="str">
            <v xml:space="preserve"> </v>
          </cell>
          <cell r="N89" t="str">
            <v xml:space="preserve"> </v>
          </cell>
          <cell r="O89" t="str">
            <v xml:space="preserve"> </v>
          </cell>
          <cell r="P89" t="str">
            <v xml:space="preserve"> </v>
          </cell>
          <cell r="Q89" t="str">
            <v xml:space="preserve"> </v>
          </cell>
          <cell r="R89" t="str">
            <v xml:space="preserve"> </v>
          </cell>
          <cell r="S89" t="str">
            <v xml:space="preserve"> </v>
          </cell>
          <cell r="T89" t="str">
            <v xml:space="preserve"> </v>
          </cell>
          <cell r="U89" t="str">
            <v xml:space="preserve"> </v>
          </cell>
          <cell r="V89" t="str">
            <v xml:space="preserve"> </v>
          </cell>
          <cell r="W89" t="str">
            <v xml:space="preserve"> </v>
          </cell>
          <cell r="X89" t="str">
            <v xml:space="preserve"> </v>
          </cell>
          <cell r="Y89" t="str">
            <v xml:space="preserve"> </v>
          </cell>
          <cell r="Z89" t="str">
            <v xml:space="preserve"> </v>
          </cell>
          <cell r="AA89" t="str">
            <v xml:space="preserve"> </v>
          </cell>
          <cell r="AB89" t="str">
            <v xml:space="preserve"> </v>
          </cell>
          <cell r="AC89" t="str">
            <v xml:space="preserve"> </v>
          </cell>
          <cell r="AD89" t="str">
            <v xml:space="preserve"> </v>
          </cell>
          <cell r="AE89" t="str">
            <v xml:space="preserve"> </v>
          </cell>
          <cell r="AF89" t="str">
            <v xml:space="preserve"> </v>
          </cell>
          <cell r="AG89" t="str">
            <v xml:space="preserve"> </v>
          </cell>
          <cell r="AH89" t="str">
            <v xml:space="preserve"> </v>
          </cell>
          <cell r="AI89" t="str">
            <v xml:space="preserve"> </v>
          </cell>
          <cell r="AJ89" t="str">
            <v xml:space="preserve"> </v>
          </cell>
          <cell r="AK89" t="str">
            <v xml:space="preserve"> </v>
          </cell>
          <cell r="AL89" t="str">
            <v xml:space="preserve"> </v>
          </cell>
          <cell r="AM89" t="str">
            <v xml:space="preserve"> </v>
          </cell>
          <cell r="AN89" t="str">
            <v xml:space="preserve"> </v>
          </cell>
          <cell r="AO89" t="str">
            <v xml:space="preserve"> </v>
          </cell>
        </row>
        <row r="90">
          <cell r="A90" t="str">
            <v xml:space="preserve"> </v>
          </cell>
          <cell r="B90" t="str">
            <v xml:space="preserve"> </v>
          </cell>
          <cell r="C90" t="str">
            <v xml:space="preserve"> </v>
          </cell>
          <cell r="D90" t="str">
            <v xml:space="preserve"> </v>
          </cell>
          <cell r="E90" t="str">
            <v xml:space="preserve"> </v>
          </cell>
          <cell r="F90" t="str">
            <v xml:space="preserve"> </v>
          </cell>
          <cell r="G90" t="str">
            <v xml:space="preserve"> </v>
          </cell>
          <cell r="H90" t="str">
            <v xml:space="preserve"> </v>
          </cell>
          <cell r="I90" t="str">
            <v xml:space="preserve"> </v>
          </cell>
          <cell r="J90" t="str">
            <v xml:space="preserve"> </v>
          </cell>
          <cell r="K90" t="str">
            <v xml:space="preserve"> </v>
          </cell>
          <cell r="L90" t="str">
            <v xml:space="preserve"> </v>
          </cell>
          <cell r="M90" t="str">
            <v xml:space="preserve"> </v>
          </cell>
          <cell r="N90" t="str">
            <v xml:space="preserve"> </v>
          </cell>
          <cell r="O90" t="str">
            <v xml:space="preserve"> </v>
          </cell>
          <cell r="P90" t="str">
            <v xml:space="preserve"> </v>
          </cell>
          <cell r="Q90" t="str">
            <v xml:space="preserve"> </v>
          </cell>
          <cell r="R90" t="str">
            <v xml:space="preserve"> </v>
          </cell>
          <cell r="S90" t="str">
            <v xml:space="preserve"> </v>
          </cell>
          <cell r="T90" t="str">
            <v xml:space="preserve"> </v>
          </cell>
          <cell r="U90" t="str">
            <v xml:space="preserve"> </v>
          </cell>
          <cell r="V90" t="str">
            <v xml:space="preserve"> </v>
          </cell>
          <cell r="W90" t="str">
            <v xml:space="preserve"> </v>
          </cell>
          <cell r="X90" t="str">
            <v xml:space="preserve"> </v>
          </cell>
          <cell r="Y90" t="str">
            <v xml:space="preserve"> </v>
          </cell>
          <cell r="Z90" t="str">
            <v xml:space="preserve"> </v>
          </cell>
          <cell r="AA90" t="str">
            <v xml:space="preserve"> </v>
          </cell>
          <cell r="AB90" t="str">
            <v xml:space="preserve"> </v>
          </cell>
          <cell r="AC90" t="str">
            <v xml:space="preserve"> </v>
          </cell>
          <cell r="AD90" t="str">
            <v xml:space="preserve"> </v>
          </cell>
          <cell r="AE90" t="str">
            <v xml:space="preserve"> </v>
          </cell>
          <cell r="AF90" t="str">
            <v xml:space="preserve"> </v>
          </cell>
          <cell r="AG90" t="str">
            <v xml:space="preserve"> </v>
          </cell>
          <cell r="AH90" t="str">
            <v xml:space="preserve"> </v>
          </cell>
          <cell r="AI90" t="str">
            <v xml:space="preserve"> </v>
          </cell>
          <cell r="AJ90" t="str">
            <v xml:space="preserve"> </v>
          </cell>
          <cell r="AK90" t="str">
            <v xml:space="preserve"> </v>
          </cell>
          <cell r="AL90" t="str">
            <v xml:space="preserve"> </v>
          </cell>
          <cell r="AM90" t="str">
            <v xml:space="preserve"> </v>
          </cell>
          <cell r="AN90" t="str">
            <v xml:space="preserve"> </v>
          </cell>
          <cell r="AO90" t="str">
            <v xml:space="preserve"> </v>
          </cell>
        </row>
        <row r="91">
          <cell r="A91" t="str">
            <v xml:space="preserve"> </v>
          </cell>
          <cell r="B91" t="str">
            <v xml:space="preserve"> </v>
          </cell>
          <cell r="C91" t="str">
            <v xml:space="preserve"> </v>
          </cell>
          <cell r="D91" t="str">
            <v xml:space="preserve"> </v>
          </cell>
          <cell r="E91" t="str">
            <v xml:space="preserve"> </v>
          </cell>
          <cell r="F91" t="str">
            <v xml:space="preserve"> </v>
          </cell>
          <cell r="G91" t="str">
            <v xml:space="preserve"> </v>
          </cell>
          <cell r="H91" t="str">
            <v xml:space="preserve"> </v>
          </cell>
          <cell r="I91" t="str">
            <v xml:space="preserve"> </v>
          </cell>
          <cell r="J91" t="str">
            <v xml:space="preserve"> </v>
          </cell>
          <cell r="K91" t="str">
            <v xml:space="preserve"> </v>
          </cell>
          <cell r="L91" t="str">
            <v xml:space="preserve"> </v>
          </cell>
          <cell r="M91" t="str">
            <v xml:space="preserve"> </v>
          </cell>
          <cell r="N91" t="str">
            <v xml:space="preserve"> </v>
          </cell>
          <cell r="O91" t="str">
            <v xml:space="preserve"> </v>
          </cell>
          <cell r="P91" t="str">
            <v xml:space="preserve"> </v>
          </cell>
          <cell r="Q91" t="str">
            <v xml:space="preserve"> </v>
          </cell>
          <cell r="R91" t="str">
            <v xml:space="preserve"> </v>
          </cell>
          <cell r="S91" t="str">
            <v xml:space="preserve"> </v>
          </cell>
          <cell r="T91" t="str">
            <v xml:space="preserve"> </v>
          </cell>
          <cell r="U91" t="str">
            <v xml:space="preserve"> </v>
          </cell>
          <cell r="V91" t="str">
            <v xml:space="preserve"> </v>
          </cell>
          <cell r="W91" t="str">
            <v xml:space="preserve"> </v>
          </cell>
          <cell r="X91" t="str">
            <v xml:space="preserve"> </v>
          </cell>
          <cell r="Y91" t="str">
            <v xml:space="preserve"> </v>
          </cell>
          <cell r="Z91" t="str">
            <v xml:space="preserve"> </v>
          </cell>
          <cell r="AA91" t="str">
            <v xml:space="preserve"> </v>
          </cell>
          <cell r="AB91" t="str">
            <v xml:space="preserve"> </v>
          </cell>
          <cell r="AC91" t="str">
            <v xml:space="preserve"> </v>
          </cell>
          <cell r="AD91" t="str">
            <v xml:space="preserve"> </v>
          </cell>
          <cell r="AE91" t="str">
            <v xml:space="preserve"> </v>
          </cell>
          <cell r="AF91" t="str">
            <v xml:space="preserve"> </v>
          </cell>
          <cell r="AG91" t="str">
            <v xml:space="preserve"> </v>
          </cell>
          <cell r="AH91" t="str">
            <v xml:space="preserve"> </v>
          </cell>
          <cell r="AI91" t="str">
            <v xml:space="preserve"> </v>
          </cell>
          <cell r="AJ91" t="str">
            <v xml:space="preserve"> </v>
          </cell>
          <cell r="AK91" t="str">
            <v xml:space="preserve"> </v>
          </cell>
          <cell r="AL91" t="str">
            <v xml:space="preserve"> </v>
          </cell>
          <cell r="AM91" t="str">
            <v xml:space="preserve"> </v>
          </cell>
          <cell r="AN91" t="str">
            <v xml:space="preserve"> </v>
          </cell>
          <cell r="AO91" t="str">
            <v xml:space="preserve"> </v>
          </cell>
        </row>
        <row r="92">
          <cell r="A92" t="str">
            <v xml:space="preserve"> </v>
          </cell>
          <cell r="B92" t="str">
            <v xml:space="preserve"> </v>
          </cell>
          <cell r="C92" t="str">
            <v xml:space="preserve"> </v>
          </cell>
          <cell r="D92" t="str">
            <v xml:space="preserve"> </v>
          </cell>
          <cell r="E92" t="str">
            <v xml:space="preserve"> </v>
          </cell>
          <cell r="F92" t="str">
            <v xml:space="preserve"> </v>
          </cell>
          <cell r="G92" t="str">
            <v xml:space="preserve"> </v>
          </cell>
          <cell r="H92" t="str">
            <v xml:space="preserve"> </v>
          </cell>
          <cell r="I92" t="str">
            <v xml:space="preserve"> </v>
          </cell>
          <cell r="J92" t="str">
            <v xml:space="preserve"> </v>
          </cell>
          <cell r="K92" t="str">
            <v xml:space="preserve"> </v>
          </cell>
          <cell r="L92" t="str">
            <v xml:space="preserve"> </v>
          </cell>
          <cell r="M92" t="str">
            <v xml:space="preserve"> </v>
          </cell>
          <cell r="N92" t="str">
            <v xml:space="preserve"> </v>
          </cell>
          <cell r="O92" t="str">
            <v xml:space="preserve"> </v>
          </cell>
          <cell r="P92" t="str">
            <v xml:space="preserve"> </v>
          </cell>
          <cell r="Q92" t="str">
            <v xml:space="preserve"> </v>
          </cell>
          <cell r="R92" t="str">
            <v xml:space="preserve"> </v>
          </cell>
          <cell r="S92" t="str">
            <v xml:space="preserve"> </v>
          </cell>
          <cell r="T92" t="str">
            <v xml:space="preserve"> </v>
          </cell>
          <cell r="U92" t="str">
            <v xml:space="preserve"> </v>
          </cell>
          <cell r="V92" t="str">
            <v xml:space="preserve"> </v>
          </cell>
          <cell r="W92" t="str">
            <v xml:space="preserve"> </v>
          </cell>
          <cell r="X92" t="str">
            <v xml:space="preserve"> </v>
          </cell>
          <cell r="Y92" t="str">
            <v xml:space="preserve"> </v>
          </cell>
          <cell r="Z92" t="str">
            <v xml:space="preserve"> </v>
          </cell>
          <cell r="AA92" t="str">
            <v xml:space="preserve"> </v>
          </cell>
          <cell r="AB92" t="str">
            <v xml:space="preserve"> </v>
          </cell>
          <cell r="AC92" t="str">
            <v xml:space="preserve"> </v>
          </cell>
          <cell r="AD92" t="str">
            <v xml:space="preserve"> </v>
          </cell>
          <cell r="AE92" t="str">
            <v xml:space="preserve"> </v>
          </cell>
          <cell r="AF92" t="str">
            <v xml:space="preserve"> </v>
          </cell>
          <cell r="AG92" t="str">
            <v xml:space="preserve"> </v>
          </cell>
          <cell r="AH92" t="str">
            <v xml:space="preserve"> </v>
          </cell>
          <cell r="AI92" t="str">
            <v xml:space="preserve"> </v>
          </cell>
          <cell r="AJ92" t="str">
            <v xml:space="preserve"> </v>
          </cell>
          <cell r="AK92" t="str">
            <v xml:space="preserve"> </v>
          </cell>
          <cell r="AL92" t="str">
            <v xml:space="preserve"> </v>
          </cell>
          <cell r="AM92" t="str">
            <v xml:space="preserve"> </v>
          </cell>
          <cell r="AN92" t="str">
            <v xml:space="preserve"> </v>
          </cell>
          <cell r="AO92" t="str">
            <v xml:space="preserve"> </v>
          </cell>
        </row>
        <row r="93">
          <cell r="A93" t="str">
            <v xml:space="preserve"> </v>
          </cell>
          <cell r="B93" t="str">
            <v xml:space="preserve"> </v>
          </cell>
          <cell r="C93" t="str">
            <v xml:space="preserve"> </v>
          </cell>
          <cell r="D93" t="str">
            <v xml:space="preserve"> </v>
          </cell>
          <cell r="E93" t="str">
            <v xml:space="preserve"> </v>
          </cell>
          <cell r="F93" t="str">
            <v xml:space="preserve"> </v>
          </cell>
          <cell r="G93" t="str">
            <v xml:space="preserve"> </v>
          </cell>
          <cell r="H93" t="str">
            <v xml:space="preserve"> </v>
          </cell>
          <cell r="I93" t="str">
            <v xml:space="preserve"> </v>
          </cell>
          <cell r="J93" t="str">
            <v xml:space="preserve"> </v>
          </cell>
          <cell r="K93" t="str">
            <v xml:space="preserve"> </v>
          </cell>
          <cell r="L93" t="str">
            <v xml:space="preserve"> </v>
          </cell>
          <cell r="M93" t="str">
            <v xml:space="preserve"> </v>
          </cell>
          <cell r="N93" t="str">
            <v xml:space="preserve"> </v>
          </cell>
          <cell r="O93" t="str">
            <v xml:space="preserve"> </v>
          </cell>
          <cell r="P93" t="str">
            <v xml:space="preserve"> </v>
          </cell>
          <cell r="Q93" t="str">
            <v xml:space="preserve"> </v>
          </cell>
          <cell r="R93" t="str">
            <v xml:space="preserve"> </v>
          </cell>
          <cell r="S93" t="str">
            <v xml:space="preserve"> </v>
          </cell>
          <cell r="T93" t="str">
            <v xml:space="preserve"> </v>
          </cell>
          <cell r="U93" t="str">
            <v xml:space="preserve"> </v>
          </cell>
          <cell r="V93" t="str">
            <v xml:space="preserve"> </v>
          </cell>
          <cell r="W93" t="str">
            <v xml:space="preserve"> </v>
          </cell>
          <cell r="X93" t="str">
            <v xml:space="preserve"> </v>
          </cell>
          <cell r="Y93" t="str">
            <v xml:space="preserve"> </v>
          </cell>
          <cell r="Z93" t="str">
            <v xml:space="preserve"> </v>
          </cell>
          <cell r="AA93" t="str">
            <v xml:space="preserve"> </v>
          </cell>
          <cell r="AB93" t="str">
            <v xml:space="preserve"> </v>
          </cell>
          <cell r="AC93" t="str">
            <v xml:space="preserve"> </v>
          </cell>
          <cell r="AD93" t="str">
            <v xml:space="preserve"> </v>
          </cell>
          <cell r="AE93" t="str">
            <v xml:space="preserve"> </v>
          </cell>
          <cell r="AF93" t="str">
            <v xml:space="preserve"> </v>
          </cell>
          <cell r="AG93" t="str">
            <v xml:space="preserve"> </v>
          </cell>
          <cell r="AH93" t="str">
            <v xml:space="preserve"> </v>
          </cell>
          <cell r="AI93" t="str">
            <v xml:space="preserve"> </v>
          </cell>
          <cell r="AJ93" t="str">
            <v xml:space="preserve"> </v>
          </cell>
          <cell r="AK93" t="str">
            <v xml:space="preserve"> </v>
          </cell>
          <cell r="AL93" t="str">
            <v xml:space="preserve"> </v>
          </cell>
          <cell r="AM93" t="str">
            <v xml:space="preserve"> </v>
          </cell>
          <cell r="AN93" t="str">
            <v xml:space="preserve"> </v>
          </cell>
          <cell r="AO93" t="str">
            <v xml:space="preserve"> </v>
          </cell>
        </row>
        <row r="94">
          <cell r="A94" t="str">
            <v xml:space="preserve"> </v>
          </cell>
          <cell r="B94" t="str">
            <v xml:space="preserve"> </v>
          </cell>
          <cell r="C94" t="str">
            <v xml:space="preserve"> </v>
          </cell>
          <cell r="D94" t="str">
            <v xml:space="preserve"> </v>
          </cell>
          <cell r="E94" t="str">
            <v xml:space="preserve"> </v>
          </cell>
          <cell r="F94" t="str">
            <v xml:space="preserve"> </v>
          </cell>
          <cell r="G94" t="str">
            <v xml:space="preserve"> </v>
          </cell>
          <cell r="H94" t="str">
            <v xml:space="preserve"> </v>
          </cell>
          <cell r="I94" t="str">
            <v xml:space="preserve"> </v>
          </cell>
          <cell r="J94" t="str">
            <v xml:space="preserve"> </v>
          </cell>
          <cell r="K94" t="str">
            <v xml:space="preserve"> </v>
          </cell>
          <cell r="L94" t="str">
            <v xml:space="preserve"> </v>
          </cell>
          <cell r="M94" t="str">
            <v xml:space="preserve"> </v>
          </cell>
          <cell r="N94" t="str">
            <v xml:space="preserve"> </v>
          </cell>
          <cell r="O94" t="str">
            <v xml:space="preserve"> </v>
          </cell>
          <cell r="P94" t="str">
            <v xml:space="preserve"> </v>
          </cell>
          <cell r="Q94" t="str">
            <v xml:space="preserve"> </v>
          </cell>
          <cell r="R94" t="str">
            <v xml:space="preserve"> </v>
          </cell>
          <cell r="S94" t="str">
            <v xml:space="preserve"> </v>
          </cell>
          <cell r="T94" t="str">
            <v xml:space="preserve"> </v>
          </cell>
          <cell r="U94" t="str">
            <v xml:space="preserve"> </v>
          </cell>
          <cell r="V94" t="str">
            <v xml:space="preserve"> </v>
          </cell>
          <cell r="W94" t="str">
            <v xml:space="preserve"> </v>
          </cell>
          <cell r="X94" t="str">
            <v xml:space="preserve"> </v>
          </cell>
          <cell r="Y94" t="str">
            <v xml:space="preserve"> </v>
          </cell>
          <cell r="Z94" t="str">
            <v xml:space="preserve"> </v>
          </cell>
          <cell r="AA94" t="str">
            <v xml:space="preserve"> </v>
          </cell>
          <cell r="AB94" t="str">
            <v xml:space="preserve"> </v>
          </cell>
          <cell r="AC94" t="str">
            <v xml:space="preserve"> </v>
          </cell>
          <cell r="AD94" t="str">
            <v xml:space="preserve"> </v>
          </cell>
          <cell r="AE94" t="str">
            <v xml:space="preserve"> </v>
          </cell>
          <cell r="AF94" t="str">
            <v xml:space="preserve"> </v>
          </cell>
          <cell r="AG94" t="str">
            <v xml:space="preserve"> </v>
          </cell>
          <cell r="AH94" t="str">
            <v xml:space="preserve"> </v>
          </cell>
          <cell r="AI94" t="str">
            <v xml:space="preserve"> </v>
          </cell>
          <cell r="AJ94" t="str">
            <v xml:space="preserve"> </v>
          </cell>
          <cell r="AK94" t="str">
            <v xml:space="preserve"> </v>
          </cell>
          <cell r="AL94" t="str">
            <v xml:space="preserve"> </v>
          </cell>
          <cell r="AM94" t="str">
            <v xml:space="preserve"> </v>
          </cell>
          <cell r="AN94" t="str">
            <v xml:space="preserve"> </v>
          </cell>
          <cell r="AO94" t="str">
            <v xml:space="preserve"> </v>
          </cell>
        </row>
        <row r="95">
          <cell r="A95" t="str">
            <v xml:space="preserve"> </v>
          </cell>
          <cell r="B95" t="str">
            <v xml:space="preserve"> </v>
          </cell>
          <cell r="C95" t="str">
            <v xml:space="preserve"> </v>
          </cell>
          <cell r="D95" t="str">
            <v xml:space="preserve"> </v>
          </cell>
          <cell r="E95" t="str">
            <v xml:space="preserve"> </v>
          </cell>
          <cell r="F95" t="str">
            <v xml:space="preserve"> </v>
          </cell>
          <cell r="G95" t="str">
            <v xml:space="preserve"> </v>
          </cell>
          <cell r="H95" t="str">
            <v xml:space="preserve"> </v>
          </cell>
          <cell r="I95" t="str">
            <v xml:space="preserve"> </v>
          </cell>
          <cell r="J95" t="str">
            <v xml:space="preserve"> </v>
          </cell>
          <cell r="K95" t="str">
            <v xml:space="preserve"> </v>
          </cell>
          <cell r="L95" t="str">
            <v xml:space="preserve"> </v>
          </cell>
          <cell r="M95" t="str">
            <v xml:space="preserve"> </v>
          </cell>
          <cell r="N95" t="str">
            <v xml:space="preserve"> </v>
          </cell>
          <cell r="O95" t="str">
            <v xml:space="preserve"> </v>
          </cell>
          <cell r="P95" t="str">
            <v xml:space="preserve"> </v>
          </cell>
          <cell r="Q95" t="str">
            <v xml:space="preserve"> </v>
          </cell>
          <cell r="R95" t="str">
            <v xml:space="preserve"> </v>
          </cell>
          <cell r="S95" t="str">
            <v xml:space="preserve"> </v>
          </cell>
          <cell r="T95" t="str">
            <v xml:space="preserve"> </v>
          </cell>
          <cell r="U95" t="str">
            <v xml:space="preserve"> </v>
          </cell>
          <cell r="V95" t="str">
            <v xml:space="preserve"> </v>
          </cell>
          <cell r="W95" t="str">
            <v xml:space="preserve"> </v>
          </cell>
          <cell r="X95" t="str">
            <v xml:space="preserve"> </v>
          </cell>
          <cell r="Y95" t="str">
            <v xml:space="preserve"> </v>
          </cell>
          <cell r="Z95" t="str">
            <v xml:space="preserve"> </v>
          </cell>
          <cell r="AA95" t="str">
            <v xml:space="preserve"> </v>
          </cell>
          <cell r="AB95" t="str">
            <v xml:space="preserve"> </v>
          </cell>
          <cell r="AC95" t="str">
            <v xml:space="preserve"> </v>
          </cell>
          <cell r="AD95" t="str">
            <v xml:space="preserve"> </v>
          </cell>
          <cell r="AE95" t="str">
            <v xml:space="preserve"> </v>
          </cell>
          <cell r="AF95" t="str">
            <v xml:space="preserve"> </v>
          </cell>
          <cell r="AG95" t="str">
            <v xml:space="preserve"> </v>
          </cell>
          <cell r="AH95" t="str">
            <v xml:space="preserve"> </v>
          </cell>
          <cell r="AI95" t="str">
            <v xml:space="preserve"> </v>
          </cell>
          <cell r="AJ95" t="str">
            <v xml:space="preserve"> </v>
          </cell>
          <cell r="AK95" t="str">
            <v xml:space="preserve"> </v>
          </cell>
          <cell r="AL95" t="str">
            <v xml:space="preserve"> </v>
          </cell>
          <cell r="AM95" t="str">
            <v xml:space="preserve"> </v>
          </cell>
          <cell r="AN95" t="str">
            <v xml:space="preserve"> </v>
          </cell>
          <cell r="AO95" t="str">
            <v xml:space="preserve"> </v>
          </cell>
        </row>
        <row r="96">
          <cell r="A96" t="str">
            <v xml:space="preserve"> </v>
          </cell>
          <cell r="B96" t="str">
            <v xml:space="preserve"> </v>
          </cell>
          <cell r="C96" t="str">
            <v xml:space="preserve"> </v>
          </cell>
          <cell r="D96" t="str">
            <v xml:space="preserve"> </v>
          </cell>
          <cell r="E96" t="str">
            <v xml:space="preserve"> </v>
          </cell>
          <cell r="F96" t="str">
            <v xml:space="preserve"> </v>
          </cell>
          <cell r="G96" t="str">
            <v xml:space="preserve"> </v>
          </cell>
          <cell r="H96" t="str">
            <v xml:space="preserve"> </v>
          </cell>
          <cell r="I96" t="str">
            <v xml:space="preserve"> </v>
          </cell>
          <cell r="J96" t="str">
            <v xml:space="preserve"> </v>
          </cell>
          <cell r="K96" t="str">
            <v xml:space="preserve"> </v>
          </cell>
          <cell r="L96" t="str">
            <v xml:space="preserve"> </v>
          </cell>
          <cell r="M96" t="str">
            <v xml:space="preserve"> </v>
          </cell>
          <cell r="N96" t="str">
            <v xml:space="preserve"> </v>
          </cell>
          <cell r="O96" t="str">
            <v xml:space="preserve"> </v>
          </cell>
          <cell r="P96" t="str">
            <v xml:space="preserve"> </v>
          </cell>
          <cell r="Q96" t="str">
            <v xml:space="preserve"> </v>
          </cell>
          <cell r="R96" t="str">
            <v xml:space="preserve"> </v>
          </cell>
          <cell r="S96" t="str">
            <v xml:space="preserve"> </v>
          </cell>
          <cell r="T96" t="str">
            <v xml:space="preserve"> </v>
          </cell>
          <cell r="U96" t="str">
            <v xml:space="preserve"> </v>
          </cell>
          <cell r="V96" t="str">
            <v xml:space="preserve"> </v>
          </cell>
          <cell r="W96" t="str">
            <v xml:space="preserve"> </v>
          </cell>
          <cell r="X96" t="str">
            <v xml:space="preserve"> </v>
          </cell>
          <cell r="Y96" t="str">
            <v xml:space="preserve"> </v>
          </cell>
          <cell r="Z96" t="str">
            <v xml:space="preserve"> </v>
          </cell>
          <cell r="AA96" t="str">
            <v xml:space="preserve"> </v>
          </cell>
          <cell r="AB96" t="str">
            <v xml:space="preserve"> </v>
          </cell>
          <cell r="AC96" t="str">
            <v xml:space="preserve"> </v>
          </cell>
          <cell r="AD96" t="str">
            <v xml:space="preserve"> </v>
          </cell>
          <cell r="AE96" t="str">
            <v xml:space="preserve"> </v>
          </cell>
          <cell r="AF96" t="str">
            <v xml:space="preserve"> </v>
          </cell>
          <cell r="AG96" t="str">
            <v xml:space="preserve"> </v>
          </cell>
          <cell r="AH96" t="str">
            <v xml:space="preserve"> </v>
          </cell>
          <cell r="AI96" t="str">
            <v xml:space="preserve"> </v>
          </cell>
          <cell r="AJ96" t="str">
            <v xml:space="preserve"> </v>
          </cell>
          <cell r="AK96" t="str">
            <v xml:space="preserve"> </v>
          </cell>
          <cell r="AL96" t="str">
            <v xml:space="preserve"> </v>
          </cell>
          <cell r="AM96" t="str">
            <v xml:space="preserve"> </v>
          </cell>
          <cell r="AN96" t="str">
            <v xml:space="preserve"> </v>
          </cell>
          <cell r="AO96" t="str">
            <v xml:space="preserve"> </v>
          </cell>
        </row>
        <row r="97">
          <cell r="A97" t="str">
            <v xml:space="preserve"> </v>
          </cell>
          <cell r="B97" t="str">
            <v xml:space="preserve"> </v>
          </cell>
          <cell r="C97" t="str">
            <v xml:space="preserve"> </v>
          </cell>
          <cell r="D97" t="str">
            <v xml:space="preserve"> </v>
          </cell>
          <cell r="E97" t="str">
            <v xml:space="preserve"> </v>
          </cell>
          <cell r="F97" t="str">
            <v xml:space="preserve"> </v>
          </cell>
          <cell r="G97" t="str">
            <v xml:space="preserve"> </v>
          </cell>
          <cell r="H97" t="str">
            <v xml:space="preserve"> </v>
          </cell>
          <cell r="I97" t="str">
            <v xml:space="preserve"> </v>
          </cell>
          <cell r="J97" t="str">
            <v xml:space="preserve"> </v>
          </cell>
          <cell r="K97" t="str">
            <v xml:space="preserve"> </v>
          </cell>
          <cell r="L97" t="str">
            <v xml:space="preserve"> </v>
          </cell>
          <cell r="M97" t="str">
            <v xml:space="preserve"> </v>
          </cell>
          <cell r="N97" t="str">
            <v xml:space="preserve"> </v>
          </cell>
          <cell r="O97" t="str">
            <v xml:space="preserve"> </v>
          </cell>
          <cell r="P97" t="str">
            <v xml:space="preserve"> </v>
          </cell>
          <cell r="Q97" t="str">
            <v xml:space="preserve"> </v>
          </cell>
          <cell r="R97" t="str">
            <v xml:space="preserve"> </v>
          </cell>
          <cell r="S97" t="str">
            <v xml:space="preserve"> </v>
          </cell>
          <cell r="T97" t="str">
            <v xml:space="preserve"> </v>
          </cell>
          <cell r="U97" t="str">
            <v xml:space="preserve"> </v>
          </cell>
          <cell r="V97" t="str">
            <v xml:space="preserve"> </v>
          </cell>
          <cell r="W97" t="str">
            <v xml:space="preserve"> </v>
          </cell>
          <cell r="X97" t="str">
            <v xml:space="preserve"> </v>
          </cell>
          <cell r="Y97" t="str">
            <v xml:space="preserve"> </v>
          </cell>
          <cell r="Z97" t="str">
            <v xml:space="preserve"> </v>
          </cell>
          <cell r="AA97" t="str">
            <v xml:space="preserve"> </v>
          </cell>
          <cell r="AB97" t="str">
            <v xml:space="preserve"> </v>
          </cell>
          <cell r="AC97" t="str">
            <v xml:space="preserve"> </v>
          </cell>
          <cell r="AD97" t="str">
            <v xml:space="preserve"> </v>
          </cell>
          <cell r="AE97" t="str">
            <v xml:space="preserve"> </v>
          </cell>
          <cell r="AF97" t="str">
            <v xml:space="preserve"> </v>
          </cell>
          <cell r="AG97" t="str">
            <v xml:space="preserve"> </v>
          </cell>
          <cell r="AH97" t="str">
            <v xml:space="preserve"> </v>
          </cell>
          <cell r="AI97" t="str">
            <v xml:space="preserve"> </v>
          </cell>
          <cell r="AJ97" t="str">
            <v xml:space="preserve"> </v>
          </cell>
          <cell r="AK97" t="str">
            <v xml:space="preserve"> </v>
          </cell>
          <cell r="AL97" t="str">
            <v xml:space="preserve"> </v>
          </cell>
          <cell r="AM97" t="str">
            <v xml:space="preserve"> </v>
          </cell>
          <cell r="AN97" t="str">
            <v xml:space="preserve"> </v>
          </cell>
          <cell r="AO97" t="str">
            <v xml:space="preserve"> 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IFD3 Fur 110nm 90nm 70nm"/>
      <sheetName val="IFD3 RTP 110nm 90nm 70nm"/>
      <sheetName val="IFR3 Fur 110nm 90nm "/>
      <sheetName val="IMI FUR 110nm 90nm"/>
      <sheetName val="IMI RTP 110nm 90nm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Wo-Ges"/>
      <sheetName val="Wo-Deckbl."/>
    </sheetNames>
    <sheetDataSet>
      <sheetData sheetId="0"/>
      <sheetData sheetId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Main Sheet Inputs &amp; Results"/>
      <sheetName val="Input wph here!"/>
      <sheetName val="No Inputs here!"/>
      <sheetName val="Tabelle2"/>
      <sheetName val="Tabelle3"/>
    </sheetNames>
    <sheetDataSet>
      <sheetData sheetId="0">
        <row r="4">
          <cell r="F4">
            <v>36550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Seite_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SD65431"/>
  <sheetViews>
    <sheetView tabSelected="1" zoomScaleSheetLayoutView="3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A4" sqref="A4"/>
    </sheetView>
  </sheetViews>
  <sheetFormatPr defaultColWidth="8" defaultRowHeight="15" outlineLevelRow="1"/>
  <cols>
    <col min="1" max="1" width="26" style="59" customWidth="1"/>
    <col min="2" max="2" width="6.33203125" style="60" hidden="1" customWidth="1"/>
    <col min="3" max="3" width="13" style="61" bestFit="1" customWidth="1"/>
    <col min="4" max="4" width="13.44140625" style="61" bestFit="1" customWidth="1"/>
    <col min="5" max="5" width="18.109375" style="65" customWidth="1"/>
    <col min="6" max="11" width="3" style="63" customWidth="1"/>
    <col min="12" max="765" width="3" style="56" customWidth="1"/>
    <col min="766" max="16384" width="8" style="56"/>
  </cols>
  <sheetData>
    <row r="1" spans="1:1850" s="6" customFormat="1" ht="68.25" customHeight="1" thickBot="1">
      <c r="A1" s="1" t="s">
        <v>4</v>
      </c>
      <c r="B1" s="2"/>
      <c r="C1" s="3"/>
      <c r="D1" s="4"/>
      <c r="E1" s="5"/>
    </row>
    <row r="2" spans="1:1850" s="6" customFormat="1" ht="23.25" customHeight="1">
      <c r="A2" s="102" t="s">
        <v>22</v>
      </c>
      <c r="B2" s="104" t="s">
        <v>21</v>
      </c>
      <c r="C2" s="108" t="s">
        <v>10</v>
      </c>
      <c r="D2" s="110" t="s">
        <v>11</v>
      </c>
      <c r="E2" s="106" t="s">
        <v>12</v>
      </c>
      <c r="F2" s="99">
        <v>41518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>
        <v>41548</v>
      </c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>
        <v>41579</v>
      </c>
      <c r="BP2" s="100"/>
      <c r="BQ2" s="100"/>
      <c r="BR2" s="100"/>
      <c r="BS2" s="100"/>
      <c r="BT2" s="100"/>
      <c r="BU2" s="100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0"/>
      <c r="CQ2" s="100"/>
      <c r="CR2" s="101"/>
    </row>
    <row r="3" spans="1:1850" s="6" customFormat="1" ht="19.5" customHeight="1" thickBot="1">
      <c r="A3" s="103"/>
      <c r="B3" s="105"/>
      <c r="C3" s="109"/>
      <c r="D3" s="111"/>
      <c r="E3" s="107"/>
      <c r="F3" s="93">
        <v>41518</v>
      </c>
      <c r="G3" s="94">
        <v>41519</v>
      </c>
      <c r="H3" s="94">
        <v>41520</v>
      </c>
      <c r="I3" s="94">
        <v>41521</v>
      </c>
      <c r="J3" s="94">
        <v>41522</v>
      </c>
      <c r="K3" s="94">
        <v>41523</v>
      </c>
      <c r="L3" s="94">
        <v>41524</v>
      </c>
      <c r="M3" s="94">
        <v>41525</v>
      </c>
      <c r="N3" s="94">
        <v>41526</v>
      </c>
      <c r="O3" s="94">
        <v>41527</v>
      </c>
      <c r="P3" s="94">
        <v>41528</v>
      </c>
      <c r="Q3" s="94">
        <v>41529</v>
      </c>
      <c r="R3" s="94">
        <v>41530</v>
      </c>
      <c r="S3" s="94">
        <v>41531</v>
      </c>
      <c r="T3" s="94">
        <v>41532</v>
      </c>
      <c r="U3" s="94">
        <v>41533</v>
      </c>
      <c r="V3" s="94">
        <v>41534</v>
      </c>
      <c r="W3" s="94">
        <v>41535</v>
      </c>
      <c r="X3" s="94">
        <v>41536</v>
      </c>
      <c r="Y3" s="94">
        <v>41537</v>
      </c>
      <c r="Z3" s="94">
        <v>41538</v>
      </c>
      <c r="AA3" s="94">
        <v>41539</v>
      </c>
      <c r="AB3" s="94">
        <v>41540</v>
      </c>
      <c r="AC3" s="94">
        <v>41541</v>
      </c>
      <c r="AD3" s="94">
        <v>41542</v>
      </c>
      <c r="AE3" s="94">
        <v>41543</v>
      </c>
      <c r="AF3" s="94">
        <v>41544</v>
      </c>
      <c r="AG3" s="94">
        <v>41545</v>
      </c>
      <c r="AH3" s="94">
        <v>41546</v>
      </c>
      <c r="AI3" s="94">
        <v>41547</v>
      </c>
      <c r="AJ3" s="94">
        <v>41548</v>
      </c>
      <c r="AK3" s="94">
        <v>41549</v>
      </c>
      <c r="AL3" s="94">
        <v>41550</v>
      </c>
      <c r="AM3" s="94">
        <v>41551</v>
      </c>
      <c r="AN3" s="94">
        <v>41552</v>
      </c>
      <c r="AO3" s="94">
        <v>41553</v>
      </c>
      <c r="AP3" s="94">
        <v>41554</v>
      </c>
      <c r="AQ3" s="94">
        <v>41555</v>
      </c>
      <c r="AR3" s="94">
        <v>41556</v>
      </c>
      <c r="AS3" s="94">
        <v>41557</v>
      </c>
      <c r="AT3" s="94">
        <v>41558</v>
      </c>
      <c r="AU3" s="94">
        <v>41559</v>
      </c>
      <c r="AV3" s="94">
        <v>41560</v>
      </c>
      <c r="AW3" s="94">
        <v>41561</v>
      </c>
      <c r="AX3" s="94">
        <v>41562</v>
      </c>
      <c r="AY3" s="94">
        <v>41563</v>
      </c>
      <c r="AZ3" s="94">
        <v>41564</v>
      </c>
      <c r="BA3" s="94">
        <v>41565</v>
      </c>
      <c r="BB3" s="94">
        <v>41566</v>
      </c>
      <c r="BC3" s="94">
        <v>41567</v>
      </c>
      <c r="BD3" s="94">
        <v>41568</v>
      </c>
      <c r="BE3" s="94">
        <v>41569</v>
      </c>
      <c r="BF3" s="94">
        <v>41570</v>
      </c>
      <c r="BG3" s="94">
        <v>41571</v>
      </c>
      <c r="BH3" s="94">
        <v>41572</v>
      </c>
      <c r="BI3" s="94">
        <v>41573</v>
      </c>
      <c r="BJ3" s="94">
        <v>41574</v>
      </c>
      <c r="BK3" s="94">
        <v>41575</v>
      </c>
      <c r="BL3" s="94">
        <v>41576</v>
      </c>
      <c r="BM3" s="94">
        <v>41577</v>
      </c>
      <c r="BN3" s="94">
        <v>41578</v>
      </c>
      <c r="BO3" s="94">
        <v>41579</v>
      </c>
      <c r="BP3" s="94">
        <v>41580</v>
      </c>
      <c r="BQ3" s="94">
        <v>41581</v>
      </c>
      <c r="BR3" s="94">
        <v>41582</v>
      </c>
      <c r="BS3" s="94">
        <v>41583</v>
      </c>
      <c r="BT3" s="94">
        <v>41584</v>
      </c>
      <c r="BU3" s="94">
        <v>41585</v>
      </c>
      <c r="BV3" s="94">
        <v>41586</v>
      </c>
      <c r="BW3" s="94">
        <v>41587</v>
      </c>
      <c r="BX3" s="94">
        <v>41588</v>
      </c>
      <c r="BY3" s="94">
        <v>41589</v>
      </c>
      <c r="BZ3" s="94">
        <v>41590</v>
      </c>
      <c r="CA3" s="94">
        <v>41591</v>
      </c>
      <c r="CB3" s="94">
        <v>41592</v>
      </c>
      <c r="CC3" s="94">
        <v>41593</v>
      </c>
      <c r="CD3" s="94">
        <v>41594</v>
      </c>
      <c r="CE3" s="94">
        <v>41595</v>
      </c>
      <c r="CF3" s="94">
        <v>41596</v>
      </c>
      <c r="CG3" s="94">
        <v>41597</v>
      </c>
      <c r="CH3" s="94">
        <v>41598</v>
      </c>
      <c r="CI3" s="94">
        <v>41599</v>
      </c>
      <c r="CJ3" s="94">
        <v>41600</v>
      </c>
      <c r="CK3" s="94">
        <v>41601</v>
      </c>
      <c r="CL3" s="94">
        <v>41602</v>
      </c>
      <c r="CM3" s="94">
        <v>41603</v>
      </c>
      <c r="CN3" s="94">
        <v>41604</v>
      </c>
      <c r="CO3" s="94">
        <v>41605</v>
      </c>
      <c r="CP3" s="94">
        <v>41606</v>
      </c>
      <c r="CQ3" s="94">
        <v>41607</v>
      </c>
      <c r="CR3" s="95">
        <v>41608</v>
      </c>
    </row>
    <row r="4" spans="1:1850" s="12" customFormat="1" ht="20.100000000000001" customHeight="1" thickBot="1">
      <c r="A4" s="90" t="s">
        <v>13</v>
      </c>
      <c r="B4" s="66"/>
      <c r="C4" s="67">
        <v>41518</v>
      </c>
      <c r="D4" s="68">
        <v>41527</v>
      </c>
      <c r="E4" s="69" t="str">
        <f>(ROUNDUP(D4-C4,0)+1) &amp; " days"</f>
        <v>10 days</v>
      </c>
      <c r="F4" s="89"/>
      <c r="G4" s="7"/>
      <c r="H4" s="7"/>
      <c r="I4" s="7"/>
      <c r="J4" s="7"/>
      <c r="K4" s="7"/>
      <c r="L4" s="8"/>
      <c r="M4" s="8"/>
      <c r="N4" s="8"/>
      <c r="O4" s="8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10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  <c r="AMA4" s="11"/>
      <c r="AMB4" s="11"/>
      <c r="AMC4" s="11"/>
      <c r="AMD4" s="11"/>
      <c r="AME4" s="11"/>
      <c r="AMF4" s="11"/>
      <c r="AMG4" s="11"/>
      <c r="AMH4" s="11"/>
      <c r="AMI4" s="11"/>
      <c r="AMJ4" s="11"/>
      <c r="AMK4" s="11"/>
      <c r="AML4" s="11"/>
      <c r="AMM4" s="11"/>
      <c r="AMN4" s="11"/>
      <c r="AMO4" s="11"/>
      <c r="AMP4" s="11"/>
      <c r="AMQ4" s="11"/>
      <c r="AMR4" s="11"/>
      <c r="AMS4" s="11"/>
      <c r="AMT4" s="11"/>
      <c r="AMU4" s="11"/>
      <c r="AMV4" s="11"/>
      <c r="AMW4" s="11"/>
      <c r="AMX4" s="11"/>
      <c r="AMY4" s="11"/>
      <c r="AMZ4" s="11"/>
      <c r="ANA4" s="11"/>
      <c r="ANB4" s="11"/>
      <c r="ANC4" s="11"/>
      <c r="AND4" s="11"/>
      <c r="ANE4" s="11"/>
      <c r="ANF4" s="11"/>
      <c r="ANG4" s="11"/>
      <c r="ANH4" s="11"/>
      <c r="ANI4" s="11"/>
      <c r="ANJ4" s="11"/>
      <c r="ANK4" s="11"/>
      <c r="ANL4" s="11"/>
      <c r="ANM4" s="11"/>
      <c r="ANN4" s="11"/>
      <c r="ANO4" s="11"/>
      <c r="ANP4" s="11"/>
      <c r="ANQ4" s="11"/>
      <c r="ANR4" s="11"/>
      <c r="ANS4" s="11"/>
      <c r="ANT4" s="11"/>
      <c r="ANU4" s="11"/>
      <c r="ANV4" s="11"/>
      <c r="ANW4" s="11"/>
      <c r="ANX4" s="11"/>
      <c r="ANY4" s="11"/>
      <c r="ANZ4" s="11"/>
      <c r="AOA4" s="11"/>
      <c r="AOB4" s="11"/>
      <c r="AOC4" s="11"/>
      <c r="AOD4" s="11"/>
      <c r="AOE4" s="11"/>
      <c r="AOF4" s="11"/>
      <c r="AOG4" s="11"/>
      <c r="AOH4" s="11"/>
      <c r="AOI4" s="11"/>
      <c r="AOJ4" s="11"/>
      <c r="AOK4" s="11"/>
      <c r="AOL4" s="11"/>
      <c r="AOM4" s="11"/>
      <c r="AON4" s="11"/>
      <c r="AOO4" s="11"/>
      <c r="AOP4" s="11"/>
      <c r="AOQ4" s="11"/>
      <c r="AOR4" s="11"/>
      <c r="AOS4" s="11"/>
      <c r="AOT4" s="11"/>
      <c r="AOU4" s="11"/>
      <c r="AOV4" s="11"/>
      <c r="AOW4" s="11"/>
      <c r="AOX4" s="11"/>
      <c r="AOY4" s="11"/>
      <c r="AOZ4" s="11"/>
      <c r="APA4" s="11"/>
      <c r="APB4" s="11"/>
      <c r="APC4" s="11"/>
      <c r="APD4" s="11"/>
      <c r="APE4" s="11"/>
      <c r="APF4" s="11"/>
      <c r="APG4" s="11"/>
      <c r="APH4" s="11"/>
      <c r="API4" s="11"/>
      <c r="APJ4" s="11"/>
      <c r="APK4" s="11"/>
      <c r="APL4" s="11"/>
      <c r="APM4" s="11"/>
      <c r="APN4" s="11"/>
      <c r="APO4" s="11"/>
      <c r="APP4" s="11"/>
      <c r="APQ4" s="11"/>
      <c r="APR4" s="11"/>
      <c r="APS4" s="11"/>
      <c r="APT4" s="11"/>
      <c r="APU4" s="11"/>
      <c r="APV4" s="11"/>
      <c r="APW4" s="11"/>
      <c r="APX4" s="11"/>
      <c r="APY4" s="11"/>
      <c r="APZ4" s="11"/>
      <c r="AQA4" s="11"/>
      <c r="AQB4" s="11"/>
      <c r="AQC4" s="11"/>
      <c r="AQD4" s="11"/>
      <c r="AQE4" s="11"/>
      <c r="AQF4" s="11"/>
      <c r="AQG4" s="11"/>
      <c r="AQH4" s="11"/>
      <c r="AQI4" s="11"/>
      <c r="AQJ4" s="11"/>
      <c r="AQK4" s="11"/>
      <c r="AQL4" s="11"/>
      <c r="AQM4" s="11"/>
      <c r="AQN4" s="11"/>
      <c r="AQO4" s="11"/>
      <c r="AQP4" s="11"/>
      <c r="AQQ4" s="11"/>
      <c r="AQR4" s="11"/>
      <c r="AQS4" s="11"/>
      <c r="AQT4" s="11"/>
      <c r="AQU4" s="11"/>
      <c r="AQV4" s="11"/>
      <c r="AQW4" s="11"/>
      <c r="AQX4" s="11"/>
      <c r="AQY4" s="11"/>
      <c r="AQZ4" s="11"/>
      <c r="ARA4" s="11"/>
      <c r="ARB4" s="11"/>
      <c r="ARC4" s="11"/>
      <c r="ARD4" s="11"/>
      <c r="ARE4" s="11"/>
      <c r="ARF4" s="11"/>
      <c r="ARG4" s="11"/>
      <c r="ARH4" s="11"/>
      <c r="ARI4" s="11"/>
      <c r="ARJ4" s="11"/>
      <c r="ARK4" s="11"/>
      <c r="ARL4" s="11"/>
      <c r="ARM4" s="11"/>
      <c r="ARN4" s="11"/>
      <c r="ARO4" s="11"/>
      <c r="ARP4" s="11"/>
      <c r="ARQ4" s="11"/>
      <c r="ARR4" s="11"/>
      <c r="ARS4" s="11"/>
      <c r="ART4" s="11"/>
      <c r="ARU4" s="11"/>
      <c r="ARV4" s="11"/>
      <c r="ARW4" s="11"/>
      <c r="ARX4" s="11"/>
      <c r="ARY4" s="11"/>
      <c r="ARZ4" s="11"/>
      <c r="ASA4" s="11"/>
      <c r="ASB4" s="11"/>
      <c r="ASC4" s="11"/>
      <c r="ASD4" s="11"/>
      <c r="ASE4" s="11"/>
      <c r="ASF4" s="11"/>
      <c r="ASG4" s="11"/>
      <c r="ASH4" s="11"/>
      <c r="ASI4" s="11"/>
      <c r="ASJ4" s="11"/>
      <c r="ASK4" s="11"/>
      <c r="ASL4" s="11"/>
      <c r="ASM4" s="11"/>
      <c r="ASN4" s="11"/>
      <c r="ASO4" s="11"/>
      <c r="ASP4" s="11"/>
      <c r="ASQ4" s="11"/>
      <c r="ASR4" s="11"/>
      <c r="ASS4" s="11"/>
      <c r="AST4" s="11"/>
      <c r="ASU4" s="11"/>
      <c r="ASV4" s="11"/>
      <c r="ASW4" s="11"/>
      <c r="ASX4" s="11"/>
      <c r="ASY4" s="11"/>
      <c r="ASZ4" s="11"/>
      <c r="ATA4" s="11"/>
      <c r="ATB4" s="11"/>
      <c r="ATC4" s="11"/>
      <c r="ATD4" s="11"/>
      <c r="ATE4" s="11"/>
      <c r="ATF4" s="11"/>
      <c r="ATG4" s="11"/>
      <c r="ATH4" s="11"/>
      <c r="ATI4" s="11"/>
      <c r="ATJ4" s="11"/>
      <c r="ATK4" s="11"/>
      <c r="ATL4" s="11"/>
      <c r="ATM4" s="11"/>
      <c r="ATN4" s="11"/>
      <c r="ATO4" s="11"/>
      <c r="ATP4" s="11"/>
      <c r="ATQ4" s="11"/>
      <c r="ATR4" s="11"/>
      <c r="ATS4" s="11"/>
      <c r="ATT4" s="11"/>
      <c r="ATU4" s="11"/>
      <c r="ATV4" s="11"/>
      <c r="ATW4" s="11"/>
      <c r="ATX4" s="11"/>
      <c r="ATY4" s="11"/>
      <c r="ATZ4" s="11"/>
      <c r="AUA4" s="11"/>
      <c r="AUB4" s="11"/>
      <c r="AUC4" s="11"/>
      <c r="AUD4" s="11"/>
      <c r="AUE4" s="11"/>
      <c r="AUF4" s="11"/>
      <c r="AUG4" s="11"/>
      <c r="AUH4" s="11"/>
      <c r="AUI4" s="11"/>
      <c r="AUJ4" s="11"/>
      <c r="AUK4" s="11"/>
      <c r="AUL4" s="11"/>
      <c r="AUM4" s="11"/>
      <c r="AUN4" s="11"/>
      <c r="AUO4" s="11"/>
      <c r="AUP4" s="11"/>
      <c r="AUQ4" s="11"/>
      <c r="AUR4" s="11"/>
      <c r="AUS4" s="11"/>
      <c r="AUT4" s="11"/>
      <c r="AUU4" s="11"/>
      <c r="AUV4" s="11"/>
      <c r="AUW4" s="11"/>
      <c r="AUX4" s="11"/>
      <c r="AUY4" s="11"/>
      <c r="AUZ4" s="11"/>
      <c r="AVA4" s="11"/>
      <c r="AVB4" s="11"/>
      <c r="AVC4" s="11"/>
      <c r="AVD4" s="11"/>
      <c r="AVE4" s="11"/>
      <c r="AVF4" s="11"/>
      <c r="AVG4" s="11"/>
      <c r="AVH4" s="11"/>
      <c r="AVI4" s="11"/>
      <c r="AVJ4" s="11"/>
      <c r="AVK4" s="11"/>
      <c r="AVL4" s="11"/>
      <c r="AVM4" s="11"/>
      <c r="AVN4" s="11"/>
      <c r="AVO4" s="11"/>
      <c r="AVP4" s="11"/>
      <c r="AVQ4" s="11"/>
      <c r="AVR4" s="11"/>
      <c r="AVS4" s="11"/>
      <c r="AVT4" s="11"/>
      <c r="AVU4" s="11"/>
      <c r="AVV4" s="11"/>
      <c r="AVW4" s="11"/>
      <c r="AVX4" s="11"/>
      <c r="AVY4" s="11"/>
      <c r="AVZ4" s="11"/>
      <c r="AWA4" s="11"/>
      <c r="AWB4" s="11"/>
      <c r="AWC4" s="11"/>
      <c r="AWD4" s="11"/>
      <c r="AWE4" s="11"/>
      <c r="AWF4" s="11"/>
      <c r="AWG4" s="11"/>
      <c r="AWH4" s="11"/>
      <c r="AWI4" s="11"/>
      <c r="AWJ4" s="11"/>
      <c r="AWK4" s="11"/>
      <c r="AWL4" s="11"/>
      <c r="AWM4" s="11"/>
      <c r="AWN4" s="11"/>
      <c r="AWO4" s="11"/>
      <c r="AWP4" s="11"/>
      <c r="AWQ4" s="11"/>
      <c r="AWR4" s="11"/>
      <c r="AWS4" s="11"/>
      <c r="AWT4" s="11"/>
      <c r="AWU4" s="11"/>
      <c r="AWV4" s="11"/>
      <c r="AWW4" s="11"/>
      <c r="AWX4" s="11"/>
      <c r="AWY4" s="11"/>
      <c r="AWZ4" s="11"/>
      <c r="AXA4" s="11"/>
      <c r="AXB4" s="11"/>
      <c r="AXC4" s="11"/>
      <c r="AXD4" s="11"/>
      <c r="AXE4" s="11"/>
      <c r="AXF4" s="11"/>
      <c r="AXG4" s="11"/>
      <c r="AXH4" s="11"/>
      <c r="AXI4" s="11"/>
      <c r="AXJ4" s="11"/>
      <c r="AXK4" s="11"/>
      <c r="AXL4" s="11"/>
      <c r="AXM4" s="11"/>
      <c r="AXN4" s="11"/>
      <c r="AXO4" s="11"/>
      <c r="AXP4" s="11"/>
      <c r="AXQ4" s="11"/>
      <c r="AXR4" s="11"/>
      <c r="AXS4" s="11"/>
      <c r="AXT4" s="11"/>
      <c r="AXU4" s="11"/>
      <c r="AXV4" s="11"/>
      <c r="AXW4" s="11"/>
      <c r="AXX4" s="11"/>
      <c r="AXY4" s="11"/>
      <c r="AXZ4" s="11"/>
      <c r="AYA4" s="11"/>
      <c r="AYB4" s="11"/>
      <c r="AYC4" s="11"/>
      <c r="AYD4" s="11"/>
      <c r="AYE4" s="11"/>
      <c r="AYF4" s="11"/>
      <c r="AYG4" s="11"/>
      <c r="AYH4" s="11"/>
      <c r="AYI4" s="11"/>
      <c r="AYJ4" s="11"/>
      <c r="AYK4" s="11"/>
      <c r="AYL4" s="11"/>
      <c r="AYM4" s="11"/>
      <c r="AYN4" s="11"/>
      <c r="AYO4" s="11"/>
      <c r="AYP4" s="11"/>
      <c r="AYQ4" s="11"/>
      <c r="AYR4" s="11"/>
      <c r="AYS4" s="11"/>
      <c r="AYT4" s="11"/>
      <c r="AYU4" s="11"/>
      <c r="AYV4" s="11"/>
      <c r="AYW4" s="11"/>
      <c r="AYX4" s="11"/>
      <c r="AYY4" s="11"/>
      <c r="AYZ4" s="11"/>
      <c r="AZA4" s="11"/>
      <c r="AZB4" s="11"/>
      <c r="AZC4" s="11"/>
      <c r="AZD4" s="11"/>
      <c r="AZE4" s="11"/>
      <c r="AZF4" s="11"/>
      <c r="AZG4" s="11"/>
      <c r="AZH4" s="11"/>
      <c r="AZI4" s="11"/>
      <c r="AZJ4" s="11"/>
      <c r="AZK4" s="11"/>
      <c r="AZL4" s="11"/>
      <c r="AZM4" s="11"/>
      <c r="AZN4" s="11"/>
      <c r="AZO4" s="11"/>
      <c r="AZP4" s="11"/>
      <c r="AZQ4" s="11"/>
      <c r="AZR4" s="11"/>
      <c r="AZS4" s="11"/>
      <c r="AZT4" s="11"/>
      <c r="AZU4" s="11"/>
      <c r="AZV4" s="11"/>
      <c r="AZW4" s="11"/>
      <c r="AZX4" s="11"/>
      <c r="AZY4" s="11"/>
      <c r="AZZ4" s="11"/>
      <c r="BAA4" s="11"/>
      <c r="BAB4" s="11"/>
      <c r="BAC4" s="11"/>
      <c r="BAD4" s="11"/>
      <c r="BAE4" s="11"/>
      <c r="BAF4" s="11"/>
      <c r="BAG4" s="11"/>
      <c r="BAH4" s="11"/>
      <c r="BAI4" s="11"/>
      <c r="BAJ4" s="11"/>
      <c r="BAK4" s="11"/>
      <c r="BAL4" s="11"/>
      <c r="BAM4" s="11"/>
      <c r="BAN4" s="11"/>
      <c r="BAO4" s="11"/>
      <c r="BAP4" s="11"/>
      <c r="BAQ4" s="11"/>
      <c r="BAR4" s="11"/>
      <c r="BAS4" s="11"/>
      <c r="BAT4" s="11"/>
      <c r="BAU4" s="11"/>
      <c r="BAV4" s="11"/>
      <c r="BAW4" s="11"/>
      <c r="BAX4" s="11"/>
      <c r="BAY4" s="11"/>
      <c r="BAZ4" s="11"/>
      <c r="BBA4" s="11"/>
      <c r="BBB4" s="11"/>
      <c r="BBC4" s="11"/>
      <c r="BBD4" s="11"/>
      <c r="BBE4" s="11"/>
      <c r="BBF4" s="11"/>
      <c r="BBG4" s="11"/>
      <c r="BBH4" s="11"/>
      <c r="BBI4" s="11"/>
      <c r="BBJ4" s="11"/>
      <c r="BBK4" s="11"/>
      <c r="BBL4" s="11"/>
      <c r="BBM4" s="11"/>
      <c r="BBN4" s="11"/>
      <c r="BBO4" s="11"/>
      <c r="BBP4" s="11"/>
      <c r="BBQ4" s="11"/>
      <c r="BBR4" s="11"/>
      <c r="BBS4" s="11"/>
      <c r="BBT4" s="11"/>
      <c r="BBU4" s="11"/>
      <c r="BBV4" s="11"/>
      <c r="BBW4" s="11"/>
      <c r="BBX4" s="11"/>
      <c r="BBY4" s="11"/>
      <c r="BBZ4" s="11"/>
      <c r="BCA4" s="11"/>
      <c r="BCB4" s="11"/>
      <c r="BCC4" s="11"/>
      <c r="BCD4" s="11"/>
      <c r="BCE4" s="11"/>
      <c r="BCF4" s="11"/>
      <c r="BCG4" s="11"/>
      <c r="BCH4" s="11"/>
      <c r="BCI4" s="11"/>
      <c r="BCJ4" s="11"/>
      <c r="BCK4" s="11"/>
      <c r="BCL4" s="11"/>
      <c r="BCM4" s="11"/>
      <c r="BCN4" s="11"/>
      <c r="BCO4" s="11"/>
      <c r="BCP4" s="11"/>
      <c r="BCQ4" s="11"/>
      <c r="BCR4" s="11"/>
      <c r="BCS4" s="11"/>
      <c r="BCT4" s="11"/>
      <c r="BCU4" s="11"/>
      <c r="BCV4" s="11"/>
      <c r="BCW4" s="11"/>
      <c r="BCX4" s="11"/>
      <c r="BCY4" s="11"/>
      <c r="BCZ4" s="11"/>
      <c r="BDA4" s="11"/>
      <c r="BDB4" s="11"/>
      <c r="BDC4" s="11"/>
      <c r="BDD4" s="11"/>
      <c r="BDE4" s="11"/>
      <c r="BDF4" s="11"/>
      <c r="BDG4" s="11"/>
      <c r="BDH4" s="11"/>
      <c r="BDI4" s="11"/>
      <c r="BDJ4" s="11"/>
      <c r="BDK4" s="11"/>
      <c r="BDL4" s="11"/>
      <c r="BDM4" s="11"/>
      <c r="BDN4" s="11"/>
      <c r="BDO4" s="11"/>
      <c r="BDP4" s="11"/>
      <c r="BDQ4" s="11"/>
      <c r="BDR4" s="11"/>
      <c r="BDS4" s="11"/>
      <c r="BDT4" s="11"/>
      <c r="BDU4" s="11"/>
      <c r="BDV4" s="11"/>
      <c r="BDW4" s="11"/>
      <c r="BDX4" s="11"/>
      <c r="BDY4" s="11"/>
      <c r="BDZ4" s="11"/>
      <c r="BEA4" s="11"/>
      <c r="BEB4" s="11"/>
      <c r="BEC4" s="11"/>
      <c r="BED4" s="11"/>
      <c r="BEE4" s="11"/>
      <c r="BEF4" s="11"/>
      <c r="BEG4" s="11"/>
      <c r="BEH4" s="11"/>
      <c r="BEI4" s="11"/>
      <c r="BEJ4" s="11"/>
      <c r="BEK4" s="11"/>
      <c r="BEL4" s="11"/>
      <c r="BEM4" s="11"/>
      <c r="BEN4" s="11"/>
      <c r="BEO4" s="11"/>
      <c r="BEP4" s="11"/>
      <c r="BEQ4" s="11"/>
      <c r="BER4" s="11"/>
      <c r="BES4" s="11"/>
      <c r="BET4" s="11"/>
      <c r="BEU4" s="11"/>
      <c r="BEV4" s="11"/>
      <c r="BEW4" s="11"/>
      <c r="BEX4" s="11"/>
      <c r="BEY4" s="11"/>
      <c r="BEZ4" s="11"/>
      <c r="BFA4" s="11"/>
      <c r="BFB4" s="11"/>
      <c r="BFC4" s="11"/>
      <c r="BFD4" s="11"/>
      <c r="BFE4" s="11"/>
      <c r="BFF4" s="11"/>
      <c r="BFG4" s="11"/>
      <c r="BFH4" s="11"/>
      <c r="BFI4" s="11"/>
      <c r="BFJ4" s="11"/>
      <c r="BFK4" s="11"/>
      <c r="BFL4" s="11"/>
      <c r="BFM4" s="11"/>
      <c r="BFN4" s="11"/>
      <c r="BFO4" s="11"/>
      <c r="BFP4" s="11"/>
      <c r="BFQ4" s="11"/>
      <c r="BFR4" s="11"/>
      <c r="BFS4" s="11"/>
      <c r="BFT4" s="11"/>
      <c r="BFU4" s="11"/>
      <c r="BFV4" s="11"/>
      <c r="BFW4" s="11"/>
      <c r="BFX4" s="11"/>
      <c r="BFY4" s="11"/>
      <c r="BFZ4" s="11"/>
      <c r="BGA4" s="11"/>
      <c r="BGB4" s="11"/>
      <c r="BGC4" s="11"/>
      <c r="BGD4" s="11"/>
      <c r="BGE4" s="11"/>
      <c r="BGF4" s="11"/>
      <c r="BGG4" s="11"/>
      <c r="BGH4" s="11"/>
      <c r="BGI4" s="11"/>
      <c r="BGJ4" s="11"/>
      <c r="BGK4" s="11"/>
      <c r="BGL4" s="11"/>
      <c r="BGM4" s="11"/>
      <c r="BGN4" s="11"/>
      <c r="BGO4" s="11"/>
      <c r="BGP4" s="11"/>
      <c r="BGQ4" s="11"/>
      <c r="BGR4" s="11"/>
      <c r="BGS4" s="11"/>
      <c r="BGT4" s="11"/>
      <c r="BGU4" s="11"/>
      <c r="BGV4" s="11"/>
      <c r="BGW4" s="11"/>
      <c r="BGX4" s="11"/>
      <c r="BGY4" s="11"/>
      <c r="BGZ4" s="11"/>
      <c r="BHA4" s="11"/>
      <c r="BHB4" s="11"/>
      <c r="BHC4" s="11"/>
      <c r="BHD4" s="11"/>
      <c r="BHE4" s="11"/>
      <c r="BHF4" s="11"/>
      <c r="BHG4" s="11"/>
      <c r="BHH4" s="11"/>
      <c r="BHI4" s="11"/>
      <c r="BHJ4" s="11"/>
      <c r="BHK4" s="11"/>
      <c r="BHL4" s="11"/>
      <c r="BHM4" s="11"/>
      <c r="BHN4" s="11"/>
      <c r="BHO4" s="11"/>
      <c r="BHP4" s="11"/>
      <c r="BHQ4" s="11"/>
      <c r="BHR4" s="11"/>
      <c r="BHS4" s="11"/>
      <c r="BHT4" s="11"/>
      <c r="BHU4" s="11"/>
      <c r="BHV4" s="11"/>
      <c r="BHW4" s="11"/>
      <c r="BHX4" s="11"/>
      <c r="BHY4" s="11"/>
      <c r="BHZ4" s="11"/>
      <c r="BIA4" s="11"/>
      <c r="BIB4" s="11"/>
      <c r="BIC4" s="11"/>
      <c r="BID4" s="11"/>
      <c r="BIE4" s="11"/>
      <c r="BIF4" s="11"/>
      <c r="BIG4" s="11"/>
      <c r="BIH4" s="11"/>
      <c r="BII4" s="11"/>
      <c r="BIJ4" s="11"/>
      <c r="BIK4" s="11"/>
      <c r="BIL4" s="11"/>
      <c r="BIM4" s="11"/>
      <c r="BIN4" s="11"/>
      <c r="BIO4" s="11"/>
      <c r="BIP4" s="11"/>
      <c r="BIQ4" s="11"/>
      <c r="BIR4" s="11"/>
      <c r="BIS4" s="11"/>
      <c r="BIT4" s="11"/>
      <c r="BIU4" s="11"/>
      <c r="BIV4" s="11"/>
      <c r="BIW4" s="11"/>
      <c r="BIX4" s="11"/>
      <c r="BIY4" s="11"/>
      <c r="BIZ4" s="11"/>
      <c r="BJA4" s="11"/>
      <c r="BJB4" s="11"/>
      <c r="BJC4" s="11"/>
      <c r="BJD4" s="11"/>
      <c r="BJE4" s="11"/>
      <c r="BJF4" s="11"/>
      <c r="BJG4" s="11"/>
      <c r="BJH4" s="11"/>
      <c r="BJI4" s="11"/>
      <c r="BJJ4" s="11"/>
      <c r="BJK4" s="11"/>
      <c r="BJL4" s="11"/>
      <c r="BJM4" s="11"/>
      <c r="BJN4" s="11"/>
      <c r="BJO4" s="11"/>
      <c r="BJP4" s="11"/>
      <c r="BJQ4" s="11"/>
      <c r="BJR4" s="11"/>
      <c r="BJS4" s="11"/>
      <c r="BJT4" s="11"/>
      <c r="BJU4" s="11"/>
      <c r="BJV4" s="11"/>
      <c r="BJW4" s="11"/>
      <c r="BJX4" s="11"/>
      <c r="BJY4" s="11"/>
      <c r="BJZ4" s="11"/>
      <c r="BKA4" s="11"/>
      <c r="BKB4" s="11"/>
      <c r="BKC4" s="11"/>
      <c r="BKD4" s="11"/>
      <c r="BKE4" s="11"/>
      <c r="BKF4" s="11"/>
      <c r="BKG4" s="11"/>
      <c r="BKH4" s="11"/>
      <c r="BKI4" s="11"/>
      <c r="BKJ4" s="11"/>
      <c r="BKK4" s="11"/>
      <c r="BKL4" s="11"/>
      <c r="BKM4" s="11"/>
      <c r="BKN4" s="11"/>
      <c r="BKO4" s="11"/>
      <c r="BKP4" s="11"/>
      <c r="BKQ4" s="11"/>
      <c r="BKR4" s="11"/>
      <c r="BKS4" s="11"/>
      <c r="BKT4" s="11"/>
      <c r="BKU4" s="11"/>
      <c r="BKV4" s="11"/>
      <c r="BKW4" s="11"/>
      <c r="BKX4" s="11"/>
      <c r="BKY4" s="11"/>
      <c r="BKZ4" s="11"/>
      <c r="BLA4" s="11"/>
      <c r="BLB4" s="11"/>
      <c r="BLC4" s="11"/>
      <c r="BLD4" s="11"/>
      <c r="BLE4" s="11"/>
      <c r="BLF4" s="11"/>
      <c r="BLG4" s="11"/>
      <c r="BLH4" s="11"/>
      <c r="BLI4" s="11"/>
      <c r="BLJ4" s="11"/>
      <c r="BLK4" s="11"/>
      <c r="BLL4" s="11"/>
      <c r="BLM4" s="11"/>
      <c r="BLN4" s="11"/>
      <c r="BLO4" s="11"/>
      <c r="BLP4" s="11"/>
      <c r="BLQ4" s="11"/>
      <c r="BLR4" s="11"/>
      <c r="BLS4" s="11"/>
      <c r="BLT4" s="11"/>
      <c r="BLU4" s="11"/>
      <c r="BLV4" s="11"/>
      <c r="BLW4" s="11"/>
      <c r="BLX4" s="11"/>
      <c r="BLY4" s="11"/>
      <c r="BLZ4" s="11"/>
      <c r="BMA4" s="11"/>
      <c r="BMB4" s="11"/>
      <c r="BMC4" s="11"/>
      <c r="BMD4" s="11"/>
      <c r="BME4" s="11"/>
      <c r="BMF4" s="11"/>
      <c r="BMG4" s="11"/>
      <c r="BMH4" s="11"/>
      <c r="BMI4" s="11"/>
      <c r="BMJ4" s="11"/>
      <c r="BMK4" s="11"/>
      <c r="BML4" s="11"/>
      <c r="BMM4" s="11"/>
      <c r="BMN4" s="11"/>
      <c r="BMO4" s="11"/>
      <c r="BMP4" s="11"/>
      <c r="BMQ4" s="11"/>
      <c r="BMR4" s="11"/>
      <c r="BMS4" s="11"/>
      <c r="BMT4" s="11"/>
      <c r="BMU4" s="11"/>
      <c r="BMV4" s="11"/>
      <c r="BMW4" s="11"/>
      <c r="BMX4" s="11"/>
      <c r="BMY4" s="11"/>
      <c r="BMZ4" s="11"/>
      <c r="BNA4" s="11"/>
      <c r="BNB4" s="11"/>
      <c r="BNC4" s="11"/>
      <c r="BND4" s="11"/>
      <c r="BNE4" s="11"/>
      <c r="BNF4" s="11"/>
      <c r="BNG4" s="11"/>
      <c r="BNH4" s="11"/>
      <c r="BNI4" s="11"/>
      <c r="BNJ4" s="11"/>
      <c r="BNK4" s="11"/>
      <c r="BNL4" s="11"/>
      <c r="BNM4" s="11"/>
      <c r="BNN4" s="11"/>
      <c r="BNO4" s="11"/>
      <c r="BNP4" s="11"/>
      <c r="BNQ4" s="11"/>
      <c r="BNR4" s="11"/>
      <c r="BNS4" s="11"/>
      <c r="BNT4" s="11"/>
      <c r="BNU4" s="11"/>
      <c r="BNV4" s="11"/>
      <c r="BNW4" s="11"/>
      <c r="BNX4" s="11"/>
      <c r="BNY4" s="11"/>
      <c r="BNZ4" s="11"/>
      <c r="BOA4" s="11"/>
      <c r="BOB4" s="11"/>
      <c r="BOC4" s="11"/>
      <c r="BOD4" s="11"/>
      <c r="BOE4" s="11"/>
      <c r="BOF4" s="11"/>
      <c r="BOG4" s="11"/>
      <c r="BOH4" s="11"/>
      <c r="BOI4" s="11"/>
      <c r="BOJ4" s="11"/>
      <c r="BOK4" s="11"/>
      <c r="BOL4" s="11"/>
      <c r="BOM4" s="11"/>
      <c r="BON4" s="11"/>
      <c r="BOO4" s="11"/>
      <c r="BOP4" s="11"/>
      <c r="BOQ4" s="11"/>
      <c r="BOR4" s="11"/>
      <c r="BOS4" s="11"/>
      <c r="BOT4" s="11"/>
      <c r="BOU4" s="11"/>
      <c r="BOV4" s="11"/>
      <c r="BOW4" s="11"/>
      <c r="BOX4" s="11"/>
      <c r="BOY4" s="11"/>
      <c r="BOZ4" s="11"/>
      <c r="BPA4" s="11"/>
      <c r="BPB4" s="11"/>
      <c r="BPC4" s="11"/>
      <c r="BPD4" s="11"/>
      <c r="BPE4" s="11"/>
      <c r="BPF4" s="11"/>
      <c r="BPG4" s="11"/>
      <c r="BPH4" s="11"/>
      <c r="BPI4" s="11"/>
      <c r="BPJ4" s="11"/>
      <c r="BPK4" s="11"/>
      <c r="BPL4" s="11"/>
      <c r="BPM4" s="11"/>
      <c r="BPN4" s="11"/>
      <c r="BPO4" s="11"/>
      <c r="BPP4" s="11"/>
      <c r="BPQ4" s="11"/>
      <c r="BPR4" s="11"/>
      <c r="BPS4" s="11"/>
      <c r="BPT4" s="11"/>
      <c r="BPU4" s="11"/>
      <c r="BPV4" s="11"/>
      <c r="BPW4" s="11"/>
      <c r="BPX4" s="11"/>
      <c r="BPY4" s="11"/>
      <c r="BPZ4" s="11"/>
      <c r="BQA4" s="11"/>
      <c r="BQB4" s="11"/>
      <c r="BQC4" s="11"/>
      <c r="BQD4" s="11"/>
      <c r="BQE4" s="11"/>
      <c r="BQF4" s="11"/>
      <c r="BQG4" s="11"/>
      <c r="BQH4" s="11"/>
      <c r="BQI4" s="11"/>
      <c r="BQJ4" s="11"/>
      <c r="BQK4" s="11"/>
      <c r="BQL4" s="11"/>
      <c r="BQM4" s="11"/>
      <c r="BQN4" s="11"/>
      <c r="BQO4" s="11"/>
      <c r="BQP4" s="11"/>
      <c r="BQQ4" s="11"/>
      <c r="BQR4" s="11"/>
      <c r="BQS4" s="11"/>
      <c r="BQT4" s="11"/>
      <c r="BQU4" s="11"/>
      <c r="BQV4" s="11"/>
      <c r="BQW4" s="11"/>
      <c r="BQX4" s="11"/>
      <c r="BQY4" s="11"/>
      <c r="BQZ4" s="11"/>
      <c r="BRA4" s="11"/>
      <c r="BRB4" s="11"/>
      <c r="BRC4" s="11"/>
      <c r="BRD4" s="11"/>
      <c r="BRE4" s="11"/>
      <c r="BRF4" s="11"/>
      <c r="BRG4" s="11"/>
      <c r="BRH4" s="11"/>
      <c r="BRI4" s="11"/>
      <c r="BRJ4" s="11"/>
      <c r="BRK4" s="11"/>
      <c r="BRL4" s="11"/>
      <c r="BRM4" s="11"/>
      <c r="BRN4" s="11"/>
      <c r="BRO4" s="11"/>
      <c r="BRP4" s="11"/>
      <c r="BRQ4" s="11"/>
      <c r="BRR4" s="11"/>
      <c r="BRS4" s="11"/>
      <c r="BRT4" s="11"/>
      <c r="BRU4" s="11"/>
      <c r="BRV4" s="11"/>
      <c r="BRW4" s="11"/>
      <c r="BRX4" s="11"/>
      <c r="BRY4" s="11"/>
      <c r="BRZ4" s="11"/>
      <c r="BSA4" s="11"/>
      <c r="BSB4" s="11"/>
      <c r="BSC4" s="11"/>
      <c r="BSD4" s="11"/>
    </row>
    <row r="5" spans="1:1850" s="12" customFormat="1" ht="20.100000000000001" customHeight="1" thickBot="1">
      <c r="A5" s="70" t="s">
        <v>5</v>
      </c>
      <c r="B5" s="71"/>
      <c r="C5" s="72">
        <v>41527</v>
      </c>
      <c r="D5" s="73">
        <f>C5+1</f>
        <v>41528</v>
      </c>
      <c r="E5" s="74" t="str">
        <f>(ROUNDUP(D5-C5,0)+1) &amp; " days"</f>
        <v>2 days</v>
      </c>
      <c r="F5" s="13"/>
      <c r="G5" s="14"/>
      <c r="H5" s="14"/>
      <c r="I5" s="14"/>
      <c r="J5" s="14"/>
      <c r="K5" s="14"/>
      <c r="L5" s="15"/>
      <c r="M5" s="15"/>
      <c r="N5" s="15"/>
      <c r="O5" s="16"/>
      <c r="P5" s="16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7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  <c r="AMA5" s="11"/>
      <c r="AMB5" s="11"/>
      <c r="AMC5" s="11"/>
      <c r="AMD5" s="11"/>
      <c r="AME5" s="11"/>
      <c r="AMF5" s="11"/>
      <c r="AMG5" s="11"/>
      <c r="AMH5" s="11"/>
      <c r="AMI5" s="11"/>
      <c r="AMJ5" s="11"/>
      <c r="AMK5" s="11"/>
      <c r="AML5" s="11"/>
      <c r="AMM5" s="11"/>
      <c r="AMN5" s="11"/>
      <c r="AMO5" s="11"/>
      <c r="AMP5" s="11"/>
      <c r="AMQ5" s="11"/>
      <c r="AMR5" s="11"/>
      <c r="AMS5" s="11"/>
      <c r="AMT5" s="11"/>
      <c r="AMU5" s="11"/>
      <c r="AMV5" s="11"/>
      <c r="AMW5" s="11"/>
      <c r="AMX5" s="11"/>
      <c r="AMY5" s="11"/>
      <c r="AMZ5" s="11"/>
      <c r="ANA5" s="11"/>
      <c r="ANB5" s="11"/>
      <c r="ANC5" s="11"/>
      <c r="AND5" s="11"/>
      <c r="ANE5" s="11"/>
      <c r="ANF5" s="11"/>
      <c r="ANG5" s="11"/>
      <c r="ANH5" s="11"/>
      <c r="ANI5" s="11"/>
      <c r="ANJ5" s="11"/>
      <c r="ANK5" s="11"/>
      <c r="ANL5" s="11"/>
      <c r="ANM5" s="11"/>
      <c r="ANN5" s="11"/>
      <c r="ANO5" s="11"/>
      <c r="ANP5" s="11"/>
      <c r="ANQ5" s="11"/>
      <c r="ANR5" s="11"/>
      <c r="ANS5" s="11"/>
      <c r="ANT5" s="11"/>
      <c r="ANU5" s="11"/>
      <c r="ANV5" s="11"/>
      <c r="ANW5" s="11"/>
      <c r="ANX5" s="11"/>
      <c r="ANY5" s="11"/>
      <c r="ANZ5" s="11"/>
      <c r="AOA5" s="11"/>
      <c r="AOB5" s="11"/>
      <c r="AOC5" s="11"/>
      <c r="AOD5" s="11"/>
      <c r="AOE5" s="11"/>
      <c r="AOF5" s="11"/>
      <c r="AOG5" s="11"/>
      <c r="AOH5" s="11"/>
      <c r="AOI5" s="11"/>
      <c r="AOJ5" s="11"/>
      <c r="AOK5" s="11"/>
      <c r="AOL5" s="11"/>
      <c r="AOM5" s="11"/>
      <c r="AON5" s="11"/>
      <c r="AOO5" s="11"/>
      <c r="AOP5" s="11"/>
      <c r="AOQ5" s="11"/>
      <c r="AOR5" s="11"/>
      <c r="AOS5" s="11"/>
      <c r="AOT5" s="11"/>
      <c r="AOU5" s="11"/>
      <c r="AOV5" s="11"/>
      <c r="AOW5" s="11"/>
      <c r="AOX5" s="11"/>
      <c r="AOY5" s="11"/>
      <c r="AOZ5" s="11"/>
      <c r="APA5" s="11"/>
      <c r="APB5" s="11"/>
      <c r="APC5" s="11"/>
      <c r="APD5" s="11"/>
      <c r="APE5" s="11"/>
      <c r="APF5" s="11"/>
      <c r="APG5" s="11"/>
      <c r="APH5" s="11"/>
      <c r="API5" s="11"/>
      <c r="APJ5" s="11"/>
      <c r="APK5" s="11"/>
      <c r="APL5" s="11"/>
      <c r="APM5" s="11"/>
      <c r="APN5" s="11"/>
      <c r="APO5" s="11"/>
      <c r="APP5" s="11"/>
      <c r="APQ5" s="11"/>
      <c r="APR5" s="11"/>
      <c r="APS5" s="11"/>
      <c r="APT5" s="11"/>
      <c r="APU5" s="11"/>
      <c r="APV5" s="11"/>
      <c r="APW5" s="11"/>
      <c r="APX5" s="11"/>
      <c r="APY5" s="11"/>
      <c r="APZ5" s="11"/>
      <c r="AQA5" s="11"/>
      <c r="AQB5" s="11"/>
      <c r="AQC5" s="11"/>
      <c r="AQD5" s="11"/>
      <c r="AQE5" s="11"/>
      <c r="AQF5" s="11"/>
      <c r="AQG5" s="11"/>
      <c r="AQH5" s="11"/>
      <c r="AQI5" s="11"/>
      <c r="AQJ5" s="11"/>
      <c r="AQK5" s="11"/>
      <c r="AQL5" s="11"/>
      <c r="AQM5" s="11"/>
      <c r="AQN5" s="11"/>
      <c r="AQO5" s="11"/>
      <c r="AQP5" s="11"/>
      <c r="AQQ5" s="11"/>
      <c r="AQR5" s="11"/>
      <c r="AQS5" s="11"/>
      <c r="AQT5" s="11"/>
      <c r="AQU5" s="11"/>
      <c r="AQV5" s="11"/>
      <c r="AQW5" s="11"/>
      <c r="AQX5" s="11"/>
      <c r="AQY5" s="11"/>
      <c r="AQZ5" s="11"/>
      <c r="ARA5" s="11"/>
      <c r="ARB5" s="11"/>
      <c r="ARC5" s="11"/>
      <c r="ARD5" s="11"/>
      <c r="ARE5" s="11"/>
      <c r="ARF5" s="11"/>
      <c r="ARG5" s="11"/>
      <c r="ARH5" s="11"/>
      <c r="ARI5" s="11"/>
      <c r="ARJ5" s="11"/>
      <c r="ARK5" s="11"/>
      <c r="ARL5" s="11"/>
      <c r="ARM5" s="11"/>
      <c r="ARN5" s="11"/>
      <c r="ARO5" s="11"/>
      <c r="ARP5" s="11"/>
      <c r="ARQ5" s="11"/>
      <c r="ARR5" s="11"/>
      <c r="ARS5" s="11"/>
      <c r="ART5" s="11"/>
      <c r="ARU5" s="11"/>
      <c r="ARV5" s="11"/>
      <c r="ARW5" s="11"/>
      <c r="ARX5" s="11"/>
      <c r="ARY5" s="11"/>
      <c r="ARZ5" s="11"/>
      <c r="ASA5" s="11"/>
      <c r="ASB5" s="11"/>
      <c r="ASC5" s="11"/>
      <c r="ASD5" s="11"/>
      <c r="ASE5" s="11"/>
      <c r="ASF5" s="11"/>
      <c r="ASG5" s="11"/>
      <c r="ASH5" s="11"/>
      <c r="ASI5" s="11"/>
      <c r="ASJ5" s="11"/>
      <c r="ASK5" s="11"/>
      <c r="ASL5" s="11"/>
      <c r="ASM5" s="11"/>
      <c r="ASN5" s="11"/>
      <c r="ASO5" s="11"/>
      <c r="ASP5" s="11"/>
      <c r="ASQ5" s="11"/>
      <c r="ASR5" s="11"/>
      <c r="ASS5" s="11"/>
      <c r="AST5" s="11"/>
      <c r="ASU5" s="11"/>
      <c r="ASV5" s="11"/>
      <c r="ASW5" s="11"/>
      <c r="ASX5" s="11"/>
      <c r="ASY5" s="11"/>
      <c r="ASZ5" s="11"/>
      <c r="ATA5" s="11"/>
      <c r="ATB5" s="11"/>
      <c r="ATC5" s="11"/>
      <c r="ATD5" s="11"/>
      <c r="ATE5" s="11"/>
      <c r="ATF5" s="11"/>
      <c r="ATG5" s="11"/>
      <c r="ATH5" s="11"/>
      <c r="ATI5" s="11"/>
      <c r="ATJ5" s="11"/>
      <c r="ATK5" s="11"/>
      <c r="ATL5" s="11"/>
      <c r="ATM5" s="11"/>
      <c r="ATN5" s="11"/>
      <c r="ATO5" s="11"/>
      <c r="ATP5" s="11"/>
      <c r="ATQ5" s="11"/>
      <c r="ATR5" s="11"/>
      <c r="ATS5" s="11"/>
      <c r="ATT5" s="11"/>
      <c r="ATU5" s="11"/>
      <c r="ATV5" s="11"/>
      <c r="ATW5" s="11"/>
      <c r="ATX5" s="11"/>
      <c r="ATY5" s="11"/>
      <c r="ATZ5" s="11"/>
      <c r="AUA5" s="11"/>
      <c r="AUB5" s="11"/>
      <c r="AUC5" s="11"/>
      <c r="AUD5" s="11"/>
      <c r="AUE5" s="11"/>
      <c r="AUF5" s="11"/>
      <c r="AUG5" s="11"/>
      <c r="AUH5" s="11"/>
      <c r="AUI5" s="11"/>
      <c r="AUJ5" s="11"/>
      <c r="AUK5" s="11"/>
      <c r="AUL5" s="11"/>
      <c r="AUM5" s="11"/>
      <c r="AUN5" s="11"/>
      <c r="AUO5" s="11"/>
      <c r="AUP5" s="11"/>
      <c r="AUQ5" s="11"/>
      <c r="AUR5" s="11"/>
      <c r="AUS5" s="11"/>
      <c r="AUT5" s="11"/>
      <c r="AUU5" s="11"/>
      <c r="AUV5" s="11"/>
      <c r="AUW5" s="11"/>
      <c r="AUX5" s="11"/>
      <c r="AUY5" s="11"/>
      <c r="AUZ5" s="11"/>
      <c r="AVA5" s="11"/>
      <c r="AVB5" s="11"/>
      <c r="AVC5" s="11"/>
      <c r="AVD5" s="11"/>
      <c r="AVE5" s="11"/>
      <c r="AVF5" s="11"/>
      <c r="AVG5" s="11"/>
      <c r="AVH5" s="11"/>
      <c r="AVI5" s="11"/>
      <c r="AVJ5" s="11"/>
      <c r="AVK5" s="11"/>
      <c r="AVL5" s="11"/>
      <c r="AVM5" s="11"/>
      <c r="AVN5" s="11"/>
      <c r="AVO5" s="11"/>
      <c r="AVP5" s="11"/>
      <c r="AVQ5" s="11"/>
      <c r="AVR5" s="11"/>
      <c r="AVS5" s="11"/>
      <c r="AVT5" s="11"/>
      <c r="AVU5" s="11"/>
      <c r="AVV5" s="11"/>
      <c r="AVW5" s="11"/>
      <c r="AVX5" s="11"/>
      <c r="AVY5" s="11"/>
      <c r="AVZ5" s="11"/>
      <c r="AWA5" s="11"/>
      <c r="AWB5" s="11"/>
      <c r="AWC5" s="11"/>
      <c r="AWD5" s="11"/>
      <c r="AWE5" s="11"/>
      <c r="AWF5" s="11"/>
      <c r="AWG5" s="11"/>
      <c r="AWH5" s="11"/>
      <c r="AWI5" s="11"/>
      <c r="AWJ5" s="11"/>
      <c r="AWK5" s="11"/>
      <c r="AWL5" s="11"/>
      <c r="AWM5" s="11"/>
      <c r="AWN5" s="11"/>
      <c r="AWO5" s="11"/>
      <c r="AWP5" s="11"/>
      <c r="AWQ5" s="11"/>
      <c r="AWR5" s="11"/>
      <c r="AWS5" s="11"/>
      <c r="AWT5" s="11"/>
      <c r="AWU5" s="11"/>
      <c r="AWV5" s="11"/>
      <c r="AWW5" s="11"/>
      <c r="AWX5" s="11"/>
      <c r="AWY5" s="11"/>
      <c r="AWZ5" s="11"/>
      <c r="AXA5" s="11"/>
      <c r="AXB5" s="11"/>
      <c r="AXC5" s="11"/>
      <c r="AXD5" s="11"/>
      <c r="AXE5" s="11"/>
      <c r="AXF5" s="11"/>
      <c r="AXG5" s="11"/>
      <c r="AXH5" s="11"/>
      <c r="AXI5" s="11"/>
      <c r="AXJ5" s="11"/>
      <c r="AXK5" s="11"/>
      <c r="AXL5" s="11"/>
      <c r="AXM5" s="11"/>
      <c r="AXN5" s="11"/>
      <c r="AXO5" s="11"/>
      <c r="AXP5" s="11"/>
      <c r="AXQ5" s="11"/>
      <c r="AXR5" s="11"/>
      <c r="AXS5" s="11"/>
      <c r="AXT5" s="11"/>
      <c r="AXU5" s="11"/>
      <c r="AXV5" s="11"/>
      <c r="AXW5" s="11"/>
      <c r="AXX5" s="11"/>
      <c r="AXY5" s="11"/>
      <c r="AXZ5" s="11"/>
      <c r="AYA5" s="11"/>
      <c r="AYB5" s="11"/>
      <c r="AYC5" s="11"/>
      <c r="AYD5" s="11"/>
      <c r="AYE5" s="11"/>
      <c r="AYF5" s="11"/>
      <c r="AYG5" s="11"/>
      <c r="AYH5" s="11"/>
      <c r="AYI5" s="11"/>
      <c r="AYJ5" s="11"/>
      <c r="AYK5" s="11"/>
      <c r="AYL5" s="11"/>
      <c r="AYM5" s="11"/>
      <c r="AYN5" s="11"/>
      <c r="AYO5" s="11"/>
      <c r="AYP5" s="11"/>
      <c r="AYQ5" s="11"/>
      <c r="AYR5" s="11"/>
      <c r="AYS5" s="11"/>
      <c r="AYT5" s="11"/>
      <c r="AYU5" s="11"/>
      <c r="AYV5" s="11"/>
      <c r="AYW5" s="11"/>
      <c r="AYX5" s="11"/>
      <c r="AYY5" s="11"/>
      <c r="AYZ5" s="11"/>
      <c r="AZA5" s="11"/>
      <c r="AZB5" s="11"/>
      <c r="AZC5" s="11"/>
      <c r="AZD5" s="11"/>
      <c r="AZE5" s="11"/>
      <c r="AZF5" s="11"/>
      <c r="AZG5" s="11"/>
      <c r="AZH5" s="11"/>
      <c r="AZI5" s="11"/>
      <c r="AZJ5" s="11"/>
      <c r="AZK5" s="11"/>
      <c r="AZL5" s="11"/>
      <c r="AZM5" s="11"/>
      <c r="AZN5" s="11"/>
      <c r="AZO5" s="11"/>
      <c r="AZP5" s="11"/>
      <c r="AZQ5" s="11"/>
      <c r="AZR5" s="11"/>
      <c r="AZS5" s="11"/>
      <c r="AZT5" s="11"/>
      <c r="AZU5" s="11"/>
      <c r="AZV5" s="11"/>
      <c r="AZW5" s="11"/>
      <c r="AZX5" s="11"/>
      <c r="AZY5" s="11"/>
      <c r="AZZ5" s="11"/>
      <c r="BAA5" s="11"/>
      <c r="BAB5" s="11"/>
      <c r="BAC5" s="11"/>
      <c r="BAD5" s="11"/>
      <c r="BAE5" s="11"/>
      <c r="BAF5" s="11"/>
      <c r="BAG5" s="11"/>
      <c r="BAH5" s="11"/>
      <c r="BAI5" s="11"/>
      <c r="BAJ5" s="11"/>
      <c r="BAK5" s="11"/>
      <c r="BAL5" s="11"/>
      <c r="BAM5" s="11"/>
      <c r="BAN5" s="11"/>
      <c r="BAO5" s="11"/>
      <c r="BAP5" s="11"/>
      <c r="BAQ5" s="11"/>
      <c r="BAR5" s="11"/>
      <c r="BAS5" s="11"/>
      <c r="BAT5" s="11"/>
      <c r="BAU5" s="11"/>
      <c r="BAV5" s="11"/>
      <c r="BAW5" s="11"/>
      <c r="BAX5" s="11"/>
      <c r="BAY5" s="11"/>
      <c r="BAZ5" s="11"/>
      <c r="BBA5" s="11"/>
      <c r="BBB5" s="11"/>
      <c r="BBC5" s="11"/>
      <c r="BBD5" s="11"/>
      <c r="BBE5" s="11"/>
      <c r="BBF5" s="11"/>
      <c r="BBG5" s="11"/>
      <c r="BBH5" s="11"/>
      <c r="BBI5" s="11"/>
      <c r="BBJ5" s="11"/>
      <c r="BBK5" s="11"/>
      <c r="BBL5" s="11"/>
      <c r="BBM5" s="11"/>
      <c r="BBN5" s="11"/>
      <c r="BBO5" s="11"/>
      <c r="BBP5" s="11"/>
      <c r="BBQ5" s="11"/>
      <c r="BBR5" s="11"/>
      <c r="BBS5" s="11"/>
      <c r="BBT5" s="11"/>
      <c r="BBU5" s="11"/>
      <c r="BBV5" s="11"/>
      <c r="BBW5" s="11"/>
      <c r="BBX5" s="11"/>
      <c r="BBY5" s="11"/>
      <c r="BBZ5" s="11"/>
      <c r="BCA5" s="11"/>
      <c r="BCB5" s="11"/>
      <c r="BCC5" s="11"/>
      <c r="BCD5" s="11"/>
      <c r="BCE5" s="11"/>
      <c r="BCF5" s="11"/>
      <c r="BCG5" s="11"/>
      <c r="BCH5" s="11"/>
      <c r="BCI5" s="11"/>
      <c r="BCJ5" s="11"/>
      <c r="BCK5" s="11"/>
      <c r="BCL5" s="11"/>
      <c r="BCM5" s="11"/>
      <c r="BCN5" s="11"/>
      <c r="BCO5" s="11"/>
      <c r="BCP5" s="11"/>
      <c r="BCQ5" s="11"/>
      <c r="BCR5" s="11"/>
      <c r="BCS5" s="11"/>
      <c r="BCT5" s="11"/>
      <c r="BCU5" s="11"/>
      <c r="BCV5" s="11"/>
      <c r="BCW5" s="11"/>
      <c r="BCX5" s="11"/>
      <c r="BCY5" s="11"/>
      <c r="BCZ5" s="11"/>
      <c r="BDA5" s="11"/>
      <c r="BDB5" s="11"/>
      <c r="BDC5" s="11"/>
      <c r="BDD5" s="11"/>
      <c r="BDE5" s="11"/>
      <c r="BDF5" s="11"/>
      <c r="BDG5" s="11"/>
      <c r="BDH5" s="11"/>
      <c r="BDI5" s="11"/>
      <c r="BDJ5" s="11"/>
      <c r="BDK5" s="11"/>
      <c r="BDL5" s="11"/>
      <c r="BDM5" s="11"/>
      <c r="BDN5" s="11"/>
      <c r="BDO5" s="11"/>
      <c r="BDP5" s="11"/>
      <c r="BDQ5" s="11"/>
      <c r="BDR5" s="11"/>
      <c r="BDS5" s="11"/>
      <c r="BDT5" s="11"/>
      <c r="BDU5" s="11"/>
      <c r="BDV5" s="11"/>
      <c r="BDW5" s="11"/>
      <c r="BDX5" s="11"/>
      <c r="BDY5" s="11"/>
      <c r="BDZ5" s="11"/>
      <c r="BEA5" s="11"/>
      <c r="BEB5" s="11"/>
      <c r="BEC5" s="11"/>
      <c r="BED5" s="11"/>
      <c r="BEE5" s="11"/>
      <c r="BEF5" s="11"/>
      <c r="BEG5" s="11"/>
      <c r="BEH5" s="11"/>
      <c r="BEI5" s="11"/>
      <c r="BEJ5" s="11"/>
      <c r="BEK5" s="11"/>
      <c r="BEL5" s="11"/>
      <c r="BEM5" s="11"/>
      <c r="BEN5" s="11"/>
      <c r="BEO5" s="11"/>
      <c r="BEP5" s="11"/>
      <c r="BEQ5" s="11"/>
      <c r="BER5" s="11"/>
      <c r="BES5" s="11"/>
      <c r="BET5" s="11"/>
      <c r="BEU5" s="11"/>
      <c r="BEV5" s="11"/>
      <c r="BEW5" s="11"/>
      <c r="BEX5" s="11"/>
      <c r="BEY5" s="11"/>
      <c r="BEZ5" s="11"/>
      <c r="BFA5" s="11"/>
      <c r="BFB5" s="11"/>
      <c r="BFC5" s="11"/>
      <c r="BFD5" s="11"/>
      <c r="BFE5" s="11"/>
      <c r="BFF5" s="11"/>
      <c r="BFG5" s="11"/>
      <c r="BFH5" s="11"/>
      <c r="BFI5" s="11"/>
      <c r="BFJ5" s="11"/>
      <c r="BFK5" s="11"/>
      <c r="BFL5" s="11"/>
      <c r="BFM5" s="11"/>
      <c r="BFN5" s="11"/>
      <c r="BFO5" s="11"/>
      <c r="BFP5" s="11"/>
      <c r="BFQ5" s="11"/>
      <c r="BFR5" s="11"/>
      <c r="BFS5" s="11"/>
      <c r="BFT5" s="11"/>
      <c r="BFU5" s="11"/>
      <c r="BFV5" s="11"/>
      <c r="BFW5" s="11"/>
      <c r="BFX5" s="11"/>
      <c r="BFY5" s="11"/>
      <c r="BFZ5" s="11"/>
      <c r="BGA5" s="11"/>
      <c r="BGB5" s="11"/>
      <c r="BGC5" s="11"/>
      <c r="BGD5" s="11"/>
      <c r="BGE5" s="11"/>
      <c r="BGF5" s="11"/>
      <c r="BGG5" s="11"/>
      <c r="BGH5" s="11"/>
      <c r="BGI5" s="11"/>
      <c r="BGJ5" s="11"/>
      <c r="BGK5" s="11"/>
      <c r="BGL5" s="11"/>
      <c r="BGM5" s="11"/>
      <c r="BGN5" s="11"/>
      <c r="BGO5" s="11"/>
      <c r="BGP5" s="11"/>
      <c r="BGQ5" s="11"/>
      <c r="BGR5" s="11"/>
      <c r="BGS5" s="11"/>
      <c r="BGT5" s="11"/>
      <c r="BGU5" s="11"/>
      <c r="BGV5" s="11"/>
      <c r="BGW5" s="11"/>
      <c r="BGX5" s="11"/>
      <c r="BGY5" s="11"/>
      <c r="BGZ5" s="11"/>
      <c r="BHA5" s="11"/>
      <c r="BHB5" s="11"/>
      <c r="BHC5" s="11"/>
      <c r="BHD5" s="11"/>
      <c r="BHE5" s="11"/>
      <c r="BHF5" s="11"/>
      <c r="BHG5" s="11"/>
      <c r="BHH5" s="11"/>
      <c r="BHI5" s="11"/>
      <c r="BHJ5" s="11"/>
      <c r="BHK5" s="11"/>
      <c r="BHL5" s="11"/>
      <c r="BHM5" s="11"/>
      <c r="BHN5" s="11"/>
      <c r="BHO5" s="11"/>
      <c r="BHP5" s="11"/>
      <c r="BHQ5" s="11"/>
      <c r="BHR5" s="11"/>
      <c r="BHS5" s="11"/>
      <c r="BHT5" s="11"/>
      <c r="BHU5" s="11"/>
      <c r="BHV5" s="11"/>
      <c r="BHW5" s="11"/>
      <c r="BHX5" s="11"/>
      <c r="BHY5" s="11"/>
      <c r="BHZ5" s="11"/>
      <c r="BIA5" s="11"/>
      <c r="BIB5" s="11"/>
      <c r="BIC5" s="11"/>
      <c r="BID5" s="11"/>
      <c r="BIE5" s="11"/>
      <c r="BIF5" s="11"/>
      <c r="BIG5" s="11"/>
      <c r="BIH5" s="11"/>
      <c r="BII5" s="11"/>
      <c r="BIJ5" s="11"/>
      <c r="BIK5" s="11"/>
      <c r="BIL5" s="11"/>
      <c r="BIM5" s="11"/>
      <c r="BIN5" s="11"/>
      <c r="BIO5" s="11"/>
      <c r="BIP5" s="11"/>
      <c r="BIQ5" s="11"/>
      <c r="BIR5" s="11"/>
      <c r="BIS5" s="11"/>
      <c r="BIT5" s="11"/>
      <c r="BIU5" s="11"/>
      <c r="BIV5" s="11"/>
      <c r="BIW5" s="11"/>
      <c r="BIX5" s="11"/>
      <c r="BIY5" s="11"/>
      <c r="BIZ5" s="11"/>
      <c r="BJA5" s="11"/>
      <c r="BJB5" s="11"/>
      <c r="BJC5" s="11"/>
      <c r="BJD5" s="11"/>
      <c r="BJE5" s="11"/>
      <c r="BJF5" s="11"/>
      <c r="BJG5" s="11"/>
      <c r="BJH5" s="11"/>
      <c r="BJI5" s="11"/>
      <c r="BJJ5" s="11"/>
      <c r="BJK5" s="11"/>
      <c r="BJL5" s="11"/>
      <c r="BJM5" s="11"/>
      <c r="BJN5" s="11"/>
      <c r="BJO5" s="11"/>
      <c r="BJP5" s="11"/>
      <c r="BJQ5" s="11"/>
      <c r="BJR5" s="11"/>
      <c r="BJS5" s="11"/>
      <c r="BJT5" s="11"/>
      <c r="BJU5" s="11"/>
      <c r="BJV5" s="11"/>
      <c r="BJW5" s="11"/>
      <c r="BJX5" s="11"/>
      <c r="BJY5" s="11"/>
      <c r="BJZ5" s="11"/>
      <c r="BKA5" s="11"/>
      <c r="BKB5" s="11"/>
      <c r="BKC5" s="11"/>
      <c r="BKD5" s="11"/>
      <c r="BKE5" s="11"/>
      <c r="BKF5" s="11"/>
      <c r="BKG5" s="11"/>
      <c r="BKH5" s="11"/>
      <c r="BKI5" s="11"/>
      <c r="BKJ5" s="11"/>
      <c r="BKK5" s="11"/>
      <c r="BKL5" s="11"/>
      <c r="BKM5" s="11"/>
      <c r="BKN5" s="11"/>
      <c r="BKO5" s="11"/>
      <c r="BKP5" s="11"/>
      <c r="BKQ5" s="11"/>
      <c r="BKR5" s="11"/>
      <c r="BKS5" s="11"/>
      <c r="BKT5" s="11"/>
      <c r="BKU5" s="11"/>
      <c r="BKV5" s="11"/>
      <c r="BKW5" s="11"/>
      <c r="BKX5" s="11"/>
      <c r="BKY5" s="11"/>
      <c r="BKZ5" s="11"/>
      <c r="BLA5" s="11"/>
      <c r="BLB5" s="11"/>
      <c r="BLC5" s="11"/>
      <c r="BLD5" s="11"/>
      <c r="BLE5" s="11"/>
      <c r="BLF5" s="11"/>
      <c r="BLG5" s="11"/>
      <c r="BLH5" s="11"/>
      <c r="BLI5" s="11"/>
      <c r="BLJ5" s="11"/>
      <c r="BLK5" s="11"/>
      <c r="BLL5" s="11"/>
      <c r="BLM5" s="11"/>
      <c r="BLN5" s="11"/>
      <c r="BLO5" s="11"/>
      <c r="BLP5" s="11"/>
      <c r="BLQ5" s="11"/>
      <c r="BLR5" s="11"/>
      <c r="BLS5" s="11"/>
      <c r="BLT5" s="11"/>
      <c r="BLU5" s="11"/>
      <c r="BLV5" s="11"/>
      <c r="BLW5" s="11"/>
      <c r="BLX5" s="11"/>
      <c r="BLY5" s="11"/>
      <c r="BLZ5" s="11"/>
      <c r="BMA5" s="11"/>
      <c r="BMB5" s="11"/>
      <c r="BMC5" s="11"/>
      <c r="BMD5" s="11"/>
      <c r="BME5" s="11"/>
      <c r="BMF5" s="11"/>
      <c r="BMG5" s="11"/>
      <c r="BMH5" s="11"/>
      <c r="BMI5" s="11"/>
      <c r="BMJ5" s="11"/>
      <c r="BMK5" s="11"/>
      <c r="BML5" s="11"/>
      <c r="BMM5" s="11"/>
      <c r="BMN5" s="11"/>
      <c r="BMO5" s="11"/>
      <c r="BMP5" s="11"/>
      <c r="BMQ5" s="11"/>
      <c r="BMR5" s="11"/>
      <c r="BMS5" s="11"/>
      <c r="BMT5" s="11"/>
      <c r="BMU5" s="11"/>
      <c r="BMV5" s="11"/>
      <c r="BMW5" s="11"/>
      <c r="BMX5" s="11"/>
      <c r="BMY5" s="11"/>
      <c r="BMZ5" s="11"/>
      <c r="BNA5" s="11"/>
      <c r="BNB5" s="11"/>
      <c r="BNC5" s="11"/>
      <c r="BND5" s="11"/>
      <c r="BNE5" s="11"/>
      <c r="BNF5" s="11"/>
      <c r="BNG5" s="11"/>
      <c r="BNH5" s="11"/>
      <c r="BNI5" s="11"/>
      <c r="BNJ5" s="11"/>
      <c r="BNK5" s="11"/>
      <c r="BNL5" s="11"/>
      <c r="BNM5" s="11"/>
      <c r="BNN5" s="11"/>
      <c r="BNO5" s="11"/>
      <c r="BNP5" s="11"/>
      <c r="BNQ5" s="11"/>
      <c r="BNR5" s="11"/>
      <c r="BNS5" s="11"/>
      <c r="BNT5" s="11"/>
      <c r="BNU5" s="11"/>
      <c r="BNV5" s="11"/>
      <c r="BNW5" s="11"/>
      <c r="BNX5" s="11"/>
      <c r="BNY5" s="11"/>
      <c r="BNZ5" s="11"/>
      <c r="BOA5" s="11"/>
      <c r="BOB5" s="11"/>
      <c r="BOC5" s="11"/>
      <c r="BOD5" s="11"/>
      <c r="BOE5" s="11"/>
      <c r="BOF5" s="11"/>
      <c r="BOG5" s="11"/>
      <c r="BOH5" s="11"/>
      <c r="BOI5" s="11"/>
      <c r="BOJ5" s="11"/>
      <c r="BOK5" s="11"/>
      <c r="BOL5" s="11"/>
      <c r="BOM5" s="11"/>
      <c r="BON5" s="11"/>
      <c r="BOO5" s="11"/>
      <c r="BOP5" s="11"/>
      <c r="BOQ5" s="11"/>
      <c r="BOR5" s="11"/>
      <c r="BOS5" s="11"/>
      <c r="BOT5" s="11"/>
      <c r="BOU5" s="11"/>
      <c r="BOV5" s="11"/>
      <c r="BOW5" s="11"/>
      <c r="BOX5" s="11"/>
      <c r="BOY5" s="11"/>
      <c r="BOZ5" s="11"/>
      <c r="BPA5" s="11"/>
      <c r="BPB5" s="11"/>
      <c r="BPC5" s="11"/>
      <c r="BPD5" s="11"/>
      <c r="BPE5" s="11"/>
      <c r="BPF5" s="11"/>
      <c r="BPG5" s="11"/>
      <c r="BPH5" s="11"/>
      <c r="BPI5" s="11"/>
      <c r="BPJ5" s="11"/>
      <c r="BPK5" s="11"/>
      <c r="BPL5" s="11"/>
      <c r="BPM5" s="11"/>
      <c r="BPN5" s="11"/>
      <c r="BPO5" s="11"/>
      <c r="BPP5" s="11"/>
      <c r="BPQ5" s="11"/>
      <c r="BPR5" s="11"/>
      <c r="BPS5" s="11"/>
      <c r="BPT5" s="11"/>
      <c r="BPU5" s="11"/>
      <c r="BPV5" s="11"/>
      <c r="BPW5" s="11"/>
      <c r="BPX5" s="11"/>
      <c r="BPY5" s="11"/>
      <c r="BPZ5" s="11"/>
      <c r="BQA5" s="11"/>
      <c r="BQB5" s="11"/>
      <c r="BQC5" s="11"/>
      <c r="BQD5" s="11"/>
      <c r="BQE5" s="11"/>
      <c r="BQF5" s="11"/>
      <c r="BQG5" s="11"/>
      <c r="BQH5" s="11"/>
      <c r="BQI5" s="11"/>
      <c r="BQJ5" s="11"/>
      <c r="BQK5" s="11"/>
      <c r="BQL5" s="11"/>
      <c r="BQM5" s="11"/>
      <c r="BQN5" s="11"/>
      <c r="BQO5" s="11"/>
      <c r="BQP5" s="11"/>
      <c r="BQQ5" s="11"/>
      <c r="BQR5" s="11"/>
      <c r="BQS5" s="11"/>
      <c r="BQT5" s="11"/>
      <c r="BQU5" s="11"/>
      <c r="BQV5" s="11"/>
      <c r="BQW5" s="11"/>
      <c r="BQX5" s="11"/>
      <c r="BQY5" s="11"/>
      <c r="BQZ5" s="11"/>
      <c r="BRA5" s="11"/>
      <c r="BRB5" s="11"/>
      <c r="BRC5" s="11"/>
      <c r="BRD5" s="11"/>
      <c r="BRE5" s="11"/>
      <c r="BRF5" s="11"/>
      <c r="BRG5" s="11"/>
      <c r="BRH5" s="11"/>
      <c r="BRI5" s="11"/>
      <c r="BRJ5" s="11"/>
      <c r="BRK5" s="11"/>
      <c r="BRL5" s="11"/>
      <c r="BRM5" s="11"/>
      <c r="BRN5" s="11"/>
      <c r="BRO5" s="11"/>
      <c r="BRP5" s="11"/>
      <c r="BRQ5" s="11"/>
      <c r="BRR5" s="11"/>
      <c r="BRS5" s="11"/>
      <c r="BRT5" s="11"/>
      <c r="BRU5" s="11"/>
      <c r="BRV5" s="11"/>
      <c r="BRW5" s="11"/>
      <c r="BRX5" s="11"/>
      <c r="BRY5" s="11"/>
      <c r="BRZ5" s="11"/>
      <c r="BSA5" s="11"/>
      <c r="BSB5" s="11"/>
      <c r="BSC5" s="11"/>
      <c r="BSD5" s="11"/>
    </row>
    <row r="6" spans="1:1850" s="12" customFormat="1" ht="20.100000000000001" customHeight="1" thickBot="1">
      <c r="A6" s="75" t="s">
        <v>0</v>
      </c>
      <c r="B6" s="76"/>
      <c r="C6" s="77">
        <v>41518</v>
      </c>
      <c r="D6" s="78">
        <v>41527</v>
      </c>
      <c r="E6" s="79" t="str">
        <f t="shared" ref="E6:E12" si="0">(ROUNDUP(D6-C6,0)+1) &amp; " days"</f>
        <v>10 days</v>
      </c>
      <c r="F6" s="18"/>
      <c r="G6" s="19"/>
      <c r="H6" s="19"/>
      <c r="I6" s="19"/>
      <c r="J6" s="19"/>
      <c r="K6" s="19"/>
      <c r="L6" s="20"/>
      <c r="M6" s="20"/>
      <c r="N6" s="20"/>
      <c r="O6" s="20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7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  <c r="AMA6" s="11"/>
      <c r="AMB6" s="11"/>
      <c r="AMC6" s="11"/>
      <c r="AMD6" s="11"/>
      <c r="AME6" s="11"/>
      <c r="AMF6" s="11"/>
      <c r="AMG6" s="11"/>
      <c r="AMH6" s="11"/>
      <c r="AMI6" s="11"/>
      <c r="AMJ6" s="11"/>
      <c r="AMK6" s="11"/>
      <c r="AML6" s="11"/>
      <c r="AMM6" s="11"/>
      <c r="AMN6" s="11"/>
      <c r="AMO6" s="11"/>
      <c r="AMP6" s="11"/>
      <c r="AMQ6" s="11"/>
      <c r="AMR6" s="11"/>
      <c r="AMS6" s="11"/>
      <c r="AMT6" s="11"/>
      <c r="AMU6" s="11"/>
      <c r="AMV6" s="11"/>
      <c r="AMW6" s="11"/>
      <c r="AMX6" s="11"/>
      <c r="AMY6" s="11"/>
      <c r="AMZ6" s="11"/>
      <c r="ANA6" s="11"/>
      <c r="ANB6" s="11"/>
      <c r="ANC6" s="11"/>
      <c r="AND6" s="11"/>
      <c r="ANE6" s="11"/>
      <c r="ANF6" s="11"/>
      <c r="ANG6" s="11"/>
      <c r="ANH6" s="11"/>
      <c r="ANI6" s="11"/>
      <c r="ANJ6" s="11"/>
      <c r="ANK6" s="11"/>
      <c r="ANL6" s="11"/>
      <c r="ANM6" s="11"/>
      <c r="ANN6" s="11"/>
      <c r="ANO6" s="11"/>
      <c r="ANP6" s="11"/>
      <c r="ANQ6" s="11"/>
      <c r="ANR6" s="11"/>
      <c r="ANS6" s="11"/>
      <c r="ANT6" s="11"/>
      <c r="ANU6" s="11"/>
      <c r="ANV6" s="11"/>
      <c r="ANW6" s="11"/>
      <c r="ANX6" s="11"/>
      <c r="ANY6" s="11"/>
      <c r="ANZ6" s="11"/>
      <c r="AOA6" s="11"/>
      <c r="AOB6" s="11"/>
      <c r="AOC6" s="11"/>
      <c r="AOD6" s="11"/>
      <c r="AOE6" s="11"/>
      <c r="AOF6" s="11"/>
      <c r="AOG6" s="11"/>
      <c r="AOH6" s="11"/>
      <c r="AOI6" s="11"/>
      <c r="AOJ6" s="11"/>
      <c r="AOK6" s="11"/>
      <c r="AOL6" s="11"/>
      <c r="AOM6" s="11"/>
      <c r="AON6" s="11"/>
      <c r="AOO6" s="11"/>
      <c r="AOP6" s="11"/>
      <c r="AOQ6" s="11"/>
      <c r="AOR6" s="11"/>
      <c r="AOS6" s="11"/>
      <c r="AOT6" s="11"/>
      <c r="AOU6" s="11"/>
      <c r="AOV6" s="11"/>
      <c r="AOW6" s="11"/>
      <c r="AOX6" s="11"/>
      <c r="AOY6" s="11"/>
      <c r="AOZ6" s="11"/>
      <c r="APA6" s="11"/>
      <c r="APB6" s="11"/>
      <c r="APC6" s="11"/>
      <c r="APD6" s="11"/>
      <c r="APE6" s="11"/>
      <c r="APF6" s="11"/>
      <c r="APG6" s="11"/>
      <c r="APH6" s="11"/>
      <c r="API6" s="11"/>
      <c r="APJ6" s="11"/>
      <c r="APK6" s="11"/>
      <c r="APL6" s="11"/>
      <c r="APM6" s="11"/>
      <c r="APN6" s="11"/>
      <c r="APO6" s="11"/>
      <c r="APP6" s="11"/>
      <c r="APQ6" s="11"/>
      <c r="APR6" s="11"/>
      <c r="APS6" s="11"/>
      <c r="APT6" s="11"/>
      <c r="APU6" s="11"/>
      <c r="APV6" s="11"/>
      <c r="APW6" s="11"/>
      <c r="APX6" s="11"/>
      <c r="APY6" s="11"/>
      <c r="APZ6" s="11"/>
      <c r="AQA6" s="11"/>
      <c r="AQB6" s="11"/>
      <c r="AQC6" s="11"/>
      <c r="AQD6" s="11"/>
      <c r="AQE6" s="11"/>
      <c r="AQF6" s="11"/>
      <c r="AQG6" s="11"/>
      <c r="AQH6" s="11"/>
      <c r="AQI6" s="11"/>
      <c r="AQJ6" s="11"/>
      <c r="AQK6" s="11"/>
      <c r="AQL6" s="11"/>
      <c r="AQM6" s="11"/>
      <c r="AQN6" s="11"/>
      <c r="AQO6" s="11"/>
      <c r="AQP6" s="11"/>
      <c r="AQQ6" s="11"/>
      <c r="AQR6" s="11"/>
      <c r="AQS6" s="11"/>
      <c r="AQT6" s="11"/>
      <c r="AQU6" s="11"/>
      <c r="AQV6" s="11"/>
      <c r="AQW6" s="11"/>
      <c r="AQX6" s="11"/>
      <c r="AQY6" s="11"/>
      <c r="AQZ6" s="11"/>
      <c r="ARA6" s="11"/>
      <c r="ARB6" s="11"/>
      <c r="ARC6" s="11"/>
      <c r="ARD6" s="11"/>
      <c r="ARE6" s="11"/>
      <c r="ARF6" s="11"/>
      <c r="ARG6" s="11"/>
      <c r="ARH6" s="11"/>
      <c r="ARI6" s="11"/>
      <c r="ARJ6" s="11"/>
      <c r="ARK6" s="11"/>
      <c r="ARL6" s="11"/>
      <c r="ARM6" s="11"/>
      <c r="ARN6" s="11"/>
      <c r="ARO6" s="11"/>
      <c r="ARP6" s="11"/>
      <c r="ARQ6" s="11"/>
      <c r="ARR6" s="11"/>
      <c r="ARS6" s="11"/>
      <c r="ART6" s="11"/>
      <c r="ARU6" s="11"/>
      <c r="ARV6" s="11"/>
      <c r="ARW6" s="11"/>
      <c r="ARX6" s="11"/>
      <c r="ARY6" s="11"/>
      <c r="ARZ6" s="11"/>
      <c r="ASA6" s="11"/>
      <c r="ASB6" s="11"/>
      <c r="ASC6" s="11"/>
      <c r="ASD6" s="11"/>
      <c r="ASE6" s="11"/>
      <c r="ASF6" s="11"/>
      <c r="ASG6" s="11"/>
      <c r="ASH6" s="11"/>
      <c r="ASI6" s="11"/>
      <c r="ASJ6" s="11"/>
      <c r="ASK6" s="11"/>
      <c r="ASL6" s="11"/>
      <c r="ASM6" s="11"/>
      <c r="ASN6" s="11"/>
      <c r="ASO6" s="11"/>
      <c r="ASP6" s="11"/>
      <c r="ASQ6" s="11"/>
      <c r="ASR6" s="11"/>
      <c r="ASS6" s="11"/>
      <c r="AST6" s="11"/>
      <c r="ASU6" s="11"/>
      <c r="ASV6" s="11"/>
      <c r="ASW6" s="11"/>
      <c r="ASX6" s="11"/>
      <c r="ASY6" s="11"/>
      <c r="ASZ6" s="11"/>
      <c r="ATA6" s="11"/>
      <c r="ATB6" s="11"/>
      <c r="ATC6" s="11"/>
      <c r="ATD6" s="11"/>
      <c r="ATE6" s="11"/>
      <c r="ATF6" s="11"/>
      <c r="ATG6" s="11"/>
      <c r="ATH6" s="11"/>
      <c r="ATI6" s="11"/>
      <c r="ATJ6" s="11"/>
      <c r="ATK6" s="11"/>
      <c r="ATL6" s="11"/>
      <c r="ATM6" s="11"/>
      <c r="ATN6" s="11"/>
      <c r="ATO6" s="11"/>
      <c r="ATP6" s="11"/>
      <c r="ATQ6" s="11"/>
      <c r="ATR6" s="11"/>
      <c r="ATS6" s="11"/>
      <c r="ATT6" s="11"/>
      <c r="ATU6" s="11"/>
      <c r="ATV6" s="11"/>
      <c r="ATW6" s="11"/>
      <c r="ATX6" s="11"/>
      <c r="ATY6" s="11"/>
      <c r="ATZ6" s="11"/>
      <c r="AUA6" s="11"/>
      <c r="AUB6" s="11"/>
      <c r="AUC6" s="11"/>
      <c r="AUD6" s="11"/>
      <c r="AUE6" s="11"/>
      <c r="AUF6" s="11"/>
      <c r="AUG6" s="11"/>
      <c r="AUH6" s="11"/>
      <c r="AUI6" s="11"/>
      <c r="AUJ6" s="11"/>
      <c r="AUK6" s="11"/>
      <c r="AUL6" s="11"/>
      <c r="AUM6" s="11"/>
      <c r="AUN6" s="11"/>
      <c r="AUO6" s="11"/>
      <c r="AUP6" s="11"/>
      <c r="AUQ6" s="11"/>
      <c r="AUR6" s="11"/>
      <c r="AUS6" s="11"/>
      <c r="AUT6" s="11"/>
      <c r="AUU6" s="11"/>
      <c r="AUV6" s="11"/>
      <c r="AUW6" s="11"/>
      <c r="AUX6" s="11"/>
      <c r="AUY6" s="11"/>
      <c r="AUZ6" s="11"/>
      <c r="AVA6" s="11"/>
      <c r="AVB6" s="11"/>
      <c r="AVC6" s="11"/>
      <c r="AVD6" s="11"/>
      <c r="AVE6" s="11"/>
      <c r="AVF6" s="11"/>
      <c r="AVG6" s="11"/>
      <c r="AVH6" s="11"/>
      <c r="AVI6" s="11"/>
      <c r="AVJ6" s="11"/>
      <c r="AVK6" s="11"/>
      <c r="AVL6" s="11"/>
      <c r="AVM6" s="11"/>
      <c r="AVN6" s="11"/>
      <c r="AVO6" s="11"/>
      <c r="AVP6" s="11"/>
      <c r="AVQ6" s="11"/>
      <c r="AVR6" s="11"/>
      <c r="AVS6" s="11"/>
      <c r="AVT6" s="11"/>
      <c r="AVU6" s="11"/>
      <c r="AVV6" s="11"/>
      <c r="AVW6" s="11"/>
      <c r="AVX6" s="11"/>
      <c r="AVY6" s="11"/>
      <c r="AVZ6" s="11"/>
      <c r="AWA6" s="11"/>
      <c r="AWB6" s="11"/>
      <c r="AWC6" s="11"/>
      <c r="AWD6" s="11"/>
      <c r="AWE6" s="11"/>
      <c r="AWF6" s="11"/>
      <c r="AWG6" s="11"/>
      <c r="AWH6" s="11"/>
      <c r="AWI6" s="11"/>
      <c r="AWJ6" s="11"/>
      <c r="AWK6" s="11"/>
      <c r="AWL6" s="11"/>
      <c r="AWM6" s="11"/>
      <c r="AWN6" s="11"/>
      <c r="AWO6" s="11"/>
      <c r="AWP6" s="11"/>
      <c r="AWQ6" s="11"/>
      <c r="AWR6" s="11"/>
      <c r="AWS6" s="11"/>
      <c r="AWT6" s="11"/>
      <c r="AWU6" s="11"/>
      <c r="AWV6" s="11"/>
      <c r="AWW6" s="11"/>
      <c r="AWX6" s="11"/>
      <c r="AWY6" s="11"/>
      <c r="AWZ6" s="11"/>
      <c r="AXA6" s="11"/>
      <c r="AXB6" s="11"/>
      <c r="AXC6" s="11"/>
      <c r="AXD6" s="11"/>
      <c r="AXE6" s="11"/>
      <c r="AXF6" s="11"/>
      <c r="AXG6" s="11"/>
      <c r="AXH6" s="11"/>
      <c r="AXI6" s="11"/>
      <c r="AXJ6" s="11"/>
      <c r="AXK6" s="11"/>
      <c r="AXL6" s="11"/>
      <c r="AXM6" s="11"/>
      <c r="AXN6" s="11"/>
      <c r="AXO6" s="11"/>
      <c r="AXP6" s="11"/>
      <c r="AXQ6" s="11"/>
      <c r="AXR6" s="11"/>
      <c r="AXS6" s="11"/>
      <c r="AXT6" s="11"/>
      <c r="AXU6" s="11"/>
      <c r="AXV6" s="11"/>
      <c r="AXW6" s="11"/>
      <c r="AXX6" s="11"/>
      <c r="AXY6" s="11"/>
      <c r="AXZ6" s="11"/>
      <c r="AYA6" s="11"/>
      <c r="AYB6" s="11"/>
      <c r="AYC6" s="11"/>
      <c r="AYD6" s="11"/>
      <c r="AYE6" s="11"/>
      <c r="AYF6" s="11"/>
      <c r="AYG6" s="11"/>
      <c r="AYH6" s="11"/>
      <c r="AYI6" s="11"/>
      <c r="AYJ6" s="11"/>
      <c r="AYK6" s="11"/>
      <c r="AYL6" s="11"/>
      <c r="AYM6" s="11"/>
      <c r="AYN6" s="11"/>
      <c r="AYO6" s="11"/>
      <c r="AYP6" s="11"/>
      <c r="AYQ6" s="11"/>
      <c r="AYR6" s="11"/>
      <c r="AYS6" s="11"/>
      <c r="AYT6" s="11"/>
      <c r="AYU6" s="11"/>
      <c r="AYV6" s="11"/>
      <c r="AYW6" s="11"/>
      <c r="AYX6" s="11"/>
      <c r="AYY6" s="11"/>
      <c r="AYZ6" s="11"/>
      <c r="AZA6" s="11"/>
      <c r="AZB6" s="11"/>
      <c r="AZC6" s="11"/>
      <c r="AZD6" s="11"/>
      <c r="AZE6" s="11"/>
      <c r="AZF6" s="11"/>
      <c r="AZG6" s="11"/>
      <c r="AZH6" s="11"/>
      <c r="AZI6" s="11"/>
      <c r="AZJ6" s="11"/>
      <c r="AZK6" s="11"/>
      <c r="AZL6" s="11"/>
      <c r="AZM6" s="11"/>
      <c r="AZN6" s="11"/>
      <c r="AZO6" s="11"/>
      <c r="AZP6" s="11"/>
      <c r="AZQ6" s="11"/>
      <c r="AZR6" s="11"/>
      <c r="AZS6" s="11"/>
      <c r="AZT6" s="11"/>
      <c r="AZU6" s="11"/>
      <c r="AZV6" s="11"/>
      <c r="AZW6" s="11"/>
      <c r="AZX6" s="11"/>
      <c r="AZY6" s="11"/>
      <c r="AZZ6" s="11"/>
      <c r="BAA6" s="11"/>
      <c r="BAB6" s="11"/>
      <c r="BAC6" s="11"/>
      <c r="BAD6" s="11"/>
      <c r="BAE6" s="11"/>
      <c r="BAF6" s="11"/>
      <c r="BAG6" s="11"/>
      <c r="BAH6" s="11"/>
      <c r="BAI6" s="11"/>
      <c r="BAJ6" s="11"/>
      <c r="BAK6" s="11"/>
      <c r="BAL6" s="11"/>
      <c r="BAM6" s="11"/>
      <c r="BAN6" s="11"/>
      <c r="BAO6" s="11"/>
      <c r="BAP6" s="11"/>
      <c r="BAQ6" s="11"/>
      <c r="BAR6" s="11"/>
      <c r="BAS6" s="11"/>
      <c r="BAT6" s="11"/>
      <c r="BAU6" s="11"/>
      <c r="BAV6" s="11"/>
      <c r="BAW6" s="11"/>
      <c r="BAX6" s="11"/>
      <c r="BAY6" s="11"/>
      <c r="BAZ6" s="11"/>
      <c r="BBA6" s="11"/>
      <c r="BBB6" s="11"/>
      <c r="BBC6" s="11"/>
      <c r="BBD6" s="11"/>
      <c r="BBE6" s="11"/>
      <c r="BBF6" s="11"/>
      <c r="BBG6" s="11"/>
      <c r="BBH6" s="11"/>
      <c r="BBI6" s="11"/>
      <c r="BBJ6" s="11"/>
      <c r="BBK6" s="11"/>
      <c r="BBL6" s="11"/>
      <c r="BBM6" s="11"/>
      <c r="BBN6" s="11"/>
      <c r="BBO6" s="11"/>
      <c r="BBP6" s="11"/>
      <c r="BBQ6" s="11"/>
      <c r="BBR6" s="11"/>
      <c r="BBS6" s="11"/>
      <c r="BBT6" s="11"/>
      <c r="BBU6" s="11"/>
      <c r="BBV6" s="11"/>
      <c r="BBW6" s="11"/>
      <c r="BBX6" s="11"/>
      <c r="BBY6" s="11"/>
      <c r="BBZ6" s="11"/>
      <c r="BCA6" s="11"/>
      <c r="BCB6" s="11"/>
      <c r="BCC6" s="11"/>
      <c r="BCD6" s="11"/>
      <c r="BCE6" s="11"/>
      <c r="BCF6" s="11"/>
      <c r="BCG6" s="11"/>
      <c r="BCH6" s="11"/>
      <c r="BCI6" s="11"/>
      <c r="BCJ6" s="11"/>
      <c r="BCK6" s="11"/>
      <c r="BCL6" s="11"/>
      <c r="BCM6" s="11"/>
      <c r="BCN6" s="11"/>
      <c r="BCO6" s="11"/>
      <c r="BCP6" s="11"/>
      <c r="BCQ6" s="11"/>
      <c r="BCR6" s="11"/>
      <c r="BCS6" s="11"/>
      <c r="BCT6" s="11"/>
      <c r="BCU6" s="11"/>
      <c r="BCV6" s="11"/>
      <c r="BCW6" s="11"/>
      <c r="BCX6" s="11"/>
      <c r="BCY6" s="11"/>
      <c r="BCZ6" s="11"/>
      <c r="BDA6" s="11"/>
      <c r="BDB6" s="11"/>
      <c r="BDC6" s="11"/>
      <c r="BDD6" s="11"/>
      <c r="BDE6" s="11"/>
      <c r="BDF6" s="11"/>
      <c r="BDG6" s="11"/>
      <c r="BDH6" s="11"/>
      <c r="BDI6" s="11"/>
      <c r="BDJ6" s="11"/>
      <c r="BDK6" s="11"/>
      <c r="BDL6" s="11"/>
      <c r="BDM6" s="11"/>
      <c r="BDN6" s="11"/>
      <c r="BDO6" s="11"/>
      <c r="BDP6" s="11"/>
      <c r="BDQ6" s="11"/>
      <c r="BDR6" s="11"/>
      <c r="BDS6" s="11"/>
      <c r="BDT6" s="11"/>
      <c r="BDU6" s="11"/>
      <c r="BDV6" s="11"/>
      <c r="BDW6" s="11"/>
      <c r="BDX6" s="11"/>
      <c r="BDY6" s="11"/>
      <c r="BDZ6" s="11"/>
      <c r="BEA6" s="11"/>
      <c r="BEB6" s="11"/>
      <c r="BEC6" s="11"/>
      <c r="BED6" s="11"/>
      <c r="BEE6" s="11"/>
      <c r="BEF6" s="11"/>
      <c r="BEG6" s="11"/>
      <c r="BEH6" s="11"/>
      <c r="BEI6" s="11"/>
      <c r="BEJ6" s="11"/>
      <c r="BEK6" s="11"/>
      <c r="BEL6" s="11"/>
      <c r="BEM6" s="11"/>
      <c r="BEN6" s="11"/>
      <c r="BEO6" s="11"/>
      <c r="BEP6" s="11"/>
      <c r="BEQ6" s="11"/>
      <c r="BER6" s="11"/>
      <c r="BES6" s="11"/>
      <c r="BET6" s="11"/>
      <c r="BEU6" s="11"/>
      <c r="BEV6" s="11"/>
      <c r="BEW6" s="11"/>
      <c r="BEX6" s="11"/>
      <c r="BEY6" s="11"/>
      <c r="BEZ6" s="11"/>
      <c r="BFA6" s="11"/>
      <c r="BFB6" s="11"/>
      <c r="BFC6" s="11"/>
      <c r="BFD6" s="11"/>
      <c r="BFE6" s="11"/>
      <c r="BFF6" s="11"/>
      <c r="BFG6" s="11"/>
      <c r="BFH6" s="11"/>
      <c r="BFI6" s="11"/>
      <c r="BFJ6" s="11"/>
      <c r="BFK6" s="11"/>
      <c r="BFL6" s="11"/>
      <c r="BFM6" s="11"/>
      <c r="BFN6" s="11"/>
      <c r="BFO6" s="11"/>
      <c r="BFP6" s="11"/>
      <c r="BFQ6" s="11"/>
      <c r="BFR6" s="11"/>
      <c r="BFS6" s="11"/>
      <c r="BFT6" s="11"/>
      <c r="BFU6" s="11"/>
      <c r="BFV6" s="11"/>
      <c r="BFW6" s="11"/>
      <c r="BFX6" s="11"/>
      <c r="BFY6" s="11"/>
      <c r="BFZ6" s="11"/>
      <c r="BGA6" s="11"/>
      <c r="BGB6" s="11"/>
      <c r="BGC6" s="11"/>
      <c r="BGD6" s="11"/>
      <c r="BGE6" s="11"/>
      <c r="BGF6" s="11"/>
      <c r="BGG6" s="11"/>
      <c r="BGH6" s="11"/>
      <c r="BGI6" s="11"/>
      <c r="BGJ6" s="11"/>
      <c r="BGK6" s="11"/>
      <c r="BGL6" s="11"/>
      <c r="BGM6" s="11"/>
      <c r="BGN6" s="11"/>
      <c r="BGO6" s="11"/>
      <c r="BGP6" s="11"/>
      <c r="BGQ6" s="11"/>
      <c r="BGR6" s="11"/>
      <c r="BGS6" s="11"/>
      <c r="BGT6" s="11"/>
      <c r="BGU6" s="11"/>
      <c r="BGV6" s="11"/>
      <c r="BGW6" s="11"/>
      <c r="BGX6" s="11"/>
      <c r="BGY6" s="11"/>
      <c r="BGZ6" s="11"/>
      <c r="BHA6" s="11"/>
      <c r="BHB6" s="11"/>
      <c r="BHC6" s="11"/>
      <c r="BHD6" s="11"/>
      <c r="BHE6" s="11"/>
      <c r="BHF6" s="11"/>
      <c r="BHG6" s="11"/>
      <c r="BHH6" s="11"/>
      <c r="BHI6" s="11"/>
      <c r="BHJ6" s="11"/>
      <c r="BHK6" s="11"/>
      <c r="BHL6" s="11"/>
      <c r="BHM6" s="11"/>
      <c r="BHN6" s="11"/>
      <c r="BHO6" s="11"/>
      <c r="BHP6" s="11"/>
      <c r="BHQ6" s="11"/>
      <c r="BHR6" s="11"/>
      <c r="BHS6" s="11"/>
      <c r="BHT6" s="11"/>
      <c r="BHU6" s="11"/>
      <c r="BHV6" s="11"/>
      <c r="BHW6" s="11"/>
      <c r="BHX6" s="11"/>
      <c r="BHY6" s="11"/>
      <c r="BHZ6" s="11"/>
      <c r="BIA6" s="11"/>
      <c r="BIB6" s="11"/>
      <c r="BIC6" s="11"/>
      <c r="BID6" s="11"/>
      <c r="BIE6" s="11"/>
      <c r="BIF6" s="11"/>
      <c r="BIG6" s="11"/>
      <c r="BIH6" s="11"/>
      <c r="BII6" s="11"/>
      <c r="BIJ6" s="11"/>
      <c r="BIK6" s="11"/>
      <c r="BIL6" s="11"/>
      <c r="BIM6" s="11"/>
      <c r="BIN6" s="11"/>
      <c r="BIO6" s="11"/>
      <c r="BIP6" s="11"/>
      <c r="BIQ6" s="11"/>
      <c r="BIR6" s="11"/>
      <c r="BIS6" s="11"/>
      <c r="BIT6" s="11"/>
      <c r="BIU6" s="11"/>
      <c r="BIV6" s="11"/>
      <c r="BIW6" s="11"/>
      <c r="BIX6" s="11"/>
      <c r="BIY6" s="11"/>
      <c r="BIZ6" s="11"/>
      <c r="BJA6" s="11"/>
      <c r="BJB6" s="11"/>
      <c r="BJC6" s="11"/>
      <c r="BJD6" s="11"/>
      <c r="BJE6" s="11"/>
      <c r="BJF6" s="11"/>
      <c r="BJG6" s="11"/>
      <c r="BJH6" s="11"/>
      <c r="BJI6" s="11"/>
      <c r="BJJ6" s="11"/>
      <c r="BJK6" s="11"/>
      <c r="BJL6" s="11"/>
      <c r="BJM6" s="11"/>
      <c r="BJN6" s="11"/>
      <c r="BJO6" s="11"/>
      <c r="BJP6" s="11"/>
      <c r="BJQ6" s="11"/>
      <c r="BJR6" s="11"/>
      <c r="BJS6" s="11"/>
      <c r="BJT6" s="11"/>
      <c r="BJU6" s="11"/>
      <c r="BJV6" s="11"/>
      <c r="BJW6" s="11"/>
      <c r="BJX6" s="11"/>
      <c r="BJY6" s="11"/>
      <c r="BJZ6" s="11"/>
      <c r="BKA6" s="11"/>
      <c r="BKB6" s="11"/>
      <c r="BKC6" s="11"/>
      <c r="BKD6" s="11"/>
      <c r="BKE6" s="11"/>
      <c r="BKF6" s="11"/>
      <c r="BKG6" s="11"/>
      <c r="BKH6" s="11"/>
      <c r="BKI6" s="11"/>
      <c r="BKJ6" s="11"/>
      <c r="BKK6" s="11"/>
      <c r="BKL6" s="11"/>
      <c r="BKM6" s="11"/>
      <c r="BKN6" s="11"/>
      <c r="BKO6" s="11"/>
      <c r="BKP6" s="11"/>
      <c r="BKQ6" s="11"/>
      <c r="BKR6" s="11"/>
      <c r="BKS6" s="11"/>
      <c r="BKT6" s="11"/>
      <c r="BKU6" s="11"/>
      <c r="BKV6" s="11"/>
      <c r="BKW6" s="11"/>
      <c r="BKX6" s="11"/>
      <c r="BKY6" s="11"/>
      <c r="BKZ6" s="11"/>
      <c r="BLA6" s="11"/>
      <c r="BLB6" s="11"/>
      <c r="BLC6" s="11"/>
      <c r="BLD6" s="11"/>
      <c r="BLE6" s="11"/>
      <c r="BLF6" s="11"/>
      <c r="BLG6" s="11"/>
      <c r="BLH6" s="11"/>
      <c r="BLI6" s="11"/>
      <c r="BLJ6" s="11"/>
      <c r="BLK6" s="11"/>
      <c r="BLL6" s="11"/>
      <c r="BLM6" s="11"/>
      <c r="BLN6" s="11"/>
      <c r="BLO6" s="11"/>
      <c r="BLP6" s="11"/>
      <c r="BLQ6" s="11"/>
      <c r="BLR6" s="11"/>
      <c r="BLS6" s="11"/>
      <c r="BLT6" s="11"/>
      <c r="BLU6" s="11"/>
      <c r="BLV6" s="11"/>
      <c r="BLW6" s="11"/>
      <c r="BLX6" s="11"/>
      <c r="BLY6" s="11"/>
      <c r="BLZ6" s="11"/>
      <c r="BMA6" s="11"/>
      <c r="BMB6" s="11"/>
      <c r="BMC6" s="11"/>
      <c r="BMD6" s="11"/>
      <c r="BME6" s="11"/>
      <c r="BMF6" s="11"/>
      <c r="BMG6" s="11"/>
      <c r="BMH6" s="11"/>
      <c r="BMI6" s="11"/>
      <c r="BMJ6" s="11"/>
      <c r="BMK6" s="11"/>
      <c r="BML6" s="11"/>
      <c r="BMM6" s="11"/>
      <c r="BMN6" s="11"/>
      <c r="BMO6" s="11"/>
      <c r="BMP6" s="11"/>
      <c r="BMQ6" s="11"/>
      <c r="BMR6" s="11"/>
      <c r="BMS6" s="11"/>
      <c r="BMT6" s="11"/>
      <c r="BMU6" s="11"/>
      <c r="BMV6" s="11"/>
      <c r="BMW6" s="11"/>
      <c r="BMX6" s="11"/>
      <c r="BMY6" s="11"/>
      <c r="BMZ6" s="11"/>
      <c r="BNA6" s="11"/>
      <c r="BNB6" s="11"/>
      <c r="BNC6" s="11"/>
      <c r="BND6" s="11"/>
      <c r="BNE6" s="11"/>
      <c r="BNF6" s="11"/>
      <c r="BNG6" s="11"/>
      <c r="BNH6" s="11"/>
      <c r="BNI6" s="11"/>
      <c r="BNJ6" s="11"/>
      <c r="BNK6" s="11"/>
      <c r="BNL6" s="11"/>
      <c r="BNM6" s="11"/>
      <c r="BNN6" s="11"/>
      <c r="BNO6" s="11"/>
      <c r="BNP6" s="11"/>
      <c r="BNQ6" s="11"/>
      <c r="BNR6" s="11"/>
      <c r="BNS6" s="11"/>
      <c r="BNT6" s="11"/>
      <c r="BNU6" s="11"/>
      <c r="BNV6" s="11"/>
      <c r="BNW6" s="11"/>
      <c r="BNX6" s="11"/>
      <c r="BNY6" s="11"/>
      <c r="BNZ6" s="11"/>
      <c r="BOA6" s="11"/>
      <c r="BOB6" s="11"/>
      <c r="BOC6" s="11"/>
      <c r="BOD6" s="11"/>
      <c r="BOE6" s="11"/>
      <c r="BOF6" s="11"/>
      <c r="BOG6" s="11"/>
      <c r="BOH6" s="11"/>
      <c r="BOI6" s="11"/>
      <c r="BOJ6" s="11"/>
      <c r="BOK6" s="11"/>
      <c r="BOL6" s="11"/>
      <c r="BOM6" s="11"/>
      <c r="BON6" s="11"/>
      <c r="BOO6" s="11"/>
      <c r="BOP6" s="11"/>
      <c r="BOQ6" s="11"/>
      <c r="BOR6" s="11"/>
      <c r="BOS6" s="11"/>
      <c r="BOT6" s="11"/>
      <c r="BOU6" s="11"/>
      <c r="BOV6" s="11"/>
      <c r="BOW6" s="11"/>
      <c r="BOX6" s="11"/>
      <c r="BOY6" s="11"/>
      <c r="BOZ6" s="11"/>
      <c r="BPA6" s="11"/>
      <c r="BPB6" s="11"/>
      <c r="BPC6" s="11"/>
      <c r="BPD6" s="11"/>
      <c r="BPE6" s="11"/>
      <c r="BPF6" s="11"/>
      <c r="BPG6" s="11"/>
      <c r="BPH6" s="11"/>
      <c r="BPI6" s="11"/>
      <c r="BPJ6" s="11"/>
      <c r="BPK6" s="11"/>
      <c r="BPL6" s="11"/>
      <c r="BPM6" s="11"/>
      <c r="BPN6" s="11"/>
      <c r="BPO6" s="11"/>
      <c r="BPP6" s="11"/>
      <c r="BPQ6" s="11"/>
      <c r="BPR6" s="11"/>
      <c r="BPS6" s="11"/>
      <c r="BPT6" s="11"/>
      <c r="BPU6" s="11"/>
      <c r="BPV6" s="11"/>
      <c r="BPW6" s="11"/>
      <c r="BPX6" s="11"/>
      <c r="BPY6" s="11"/>
      <c r="BPZ6" s="11"/>
      <c r="BQA6" s="11"/>
      <c r="BQB6" s="11"/>
      <c r="BQC6" s="11"/>
      <c r="BQD6" s="11"/>
      <c r="BQE6" s="11"/>
      <c r="BQF6" s="11"/>
      <c r="BQG6" s="11"/>
      <c r="BQH6" s="11"/>
      <c r="BQI6" s="11"/>
      <c r="BQJ6" s="11"/>
      <c r="BQK6" s="11"/>
      <c r="BQL6" s="11"/>
      <c r="BQM6" s="11"/>
      <c r="BQN6" s="11"/>
      <c r="BQO6" s="11"/>
      <c r="BQP6" s="11"/>
      <c r="BQQ6" s="11"/>
      <c r="BQR6" s="11"/>
      <c r="BQS6" s="11"/>
      <c r="BQT6" s="11"/>
      <c r="BQU6" s="11"/>
      <c r="BQV6" s="11"/>
      <c r="BQW6" s="11"/>
      <c r="BQX6" s="11"/>
      <c r="BQY6" s="11"/>
      <c r="BQZ6" s="11"/>
      <c r="BRA6" s="11"/>
      <c r="BRB6" s="11"/>
      <c r="BRC6" s="11"/>
      <c r="BRD6" s="11"/>
      <c r="BRE6" s="11"/>
      <c r="BRF6" s="11"/>
      <c r="BRG6" s="11"/>
      <c r="BRH6" s="11"/>
      <c r="BRI6" s="11"/>
      <c r="BRJ6" s="11"/>
      <c r="BRK6" s="11"/>
      <c r="BRL6" s="11"/>
      <c r="BRM6" s="11"/>
      <c r="BRN6" s="11"/>
      <c r="BRO6" s="11"/>
      <c r="BRP6" s="11"/>
      <c r="BRQ6" s="11"/>
      <c r="BRR6" s="11"/>
      <c r="BRS6" s="11"/>
      <c r="BRT6" s="11"/>
      <c r="BRU6" s="11"/>
      <c r="BRV6" s="11"/>
      <c r="BRW6" s="11"/>
      <c r="BRX6" s="11"/>
      <c r="BRY6" s="11"/>
      <c r="BRZ6" s="11"/>
      <c r="BSA6" s="11"/>
      <c r="BSB6" s="11"/>
      <c r="BSC6" s="11"/>
      <c r="BSD6" s="11"/>
    </row>
    <row r="7" spans="1:1850" s="12" customFormat="1" ht="20.100000000000001" customHeight="1">
      <c r="A7" s="80" t="s">
        <v>3</v>
      </c>
      <c r="B7" s="81"/>
      <c r="C7" s="77">
        <v>41519</v>
      </c>
      <c r="D7" s="83">
        <v>41548</v>
      </c>
      <c r="E7" s="84" t="str">
        <f t="shared" si="0"/>
        <v>30 days</v>
      </c>
      <c r="F7" s="13"/>
      <c r="G7" s="19"/>
      <c r="H7" s="19"/>
      <c r="I7" s="19"/>
      <c r="J7" s="19"/>
      <c r="K7" s="19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7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  <c r="XY7" s="11"/>
      <c r="XZ7" s="11"/>
      <c r="YA7" s="11"/>
      <c r="YB7" s="11"/>
      <c r="YC7" s="11"/>
      <c r="YD7" s="11"/>
      <c r="YE7" s="11"/>
      <c r="YF7" s="11"/>
      <c r="YG7" s="11"/>
      <c r="YH7" s="11"/>
      <c r="YI7" s="11"/>
      <c r="YJ7" s="11"/>
      <c r="YK7" s="11"/>
      <c r="YL7" s="11"/>
      <c r="YM7" s="11"/>
      <c r="YN7" s="11"/>
      <c r="YO7" s="11"/>
      <c r="YP7" s="11"/>
      <c r="YQ7" s="11"/>
      <c r="YR7" s="11"/>
      <c r="YS7" s="11"/>
      <c r="YT7" s="11"/>
      <c r="YU7" s="11"/>
      <c r="YV7" s="11"/>
      <c r="YW7" s="11"/>
      <c r="YX7" s="11"/>
      <c r="YY7" s="11"/>
      <c r="YZ7" s="11"/>
      <c r="ZA7" s="11"/>
      <c r="ZB7" s="11"/>
      <c r="ZC7" s="11"/>
      <c r="ZD7" s="11"/>
      <c r="ZE7" s="11"/>
      <c r="ZF7" s="11"/>
      <c r="ZG7" s="11"/>
      <c r="ZH7" s="11"/>
      <c r="ZI7" s="11"/>
      <c r="ZJ7" s="11"/>
      <c r="ZK7" s="11"/>
      <c r="ZL7" s="11"/>
      <c r="ZM7" s="11"/>
      <c r="ZN7" s="11"/>
      <c r="ZO7" s="11"/>
      <c r="ZP7" s="11"/>
      <c r="ZQ7" s="11"/>
      <c r="ZR7" s="11"/>
      <c r="ZS7" s="11"/>
      <c r="ZT7" s="11"/>
      <c r="ZU7" s="11"/>
      <c r="ZV7" s="11"/>
      <c r="ZW7" s="11"/>
      <c r="ZX7" s="11"/>
      <c r="ZY7" s="11"/>
      <c r="ZZ7" s="11"/>
      <c r="AAA7" s="11"/>
      <c r="AAB7" s="11"/>
      <c r="AAC7" s="11"/>
      <c r="AAD7" s="11"/>
      <c r="AAE7" s="11"/>
      <c r="AAF7" s="11"/>
      <c r="AAG7" s="11"/>
      <c r="AAH7" s="11"/>
      <c r="AAI7" s="11"/>
      <c r="AAJ7" s="11"/>
      <c r="AAK7" s="11"/>
      <c r="AAL7" s="11"/>
      <c r="AAM7" s="11"/>
      <c r="AAN7" s="11"/>
      <c r="AAO7" s="11"/>
      <c r="AAP7" s="11"/>
      <c r="AAQ7" s="11"/>
      <c r="AAR7" s="11"/>
      <c r="AAS7" s="11"/>
      <c r="AAT7" s="11"/>
      <c r="AAU7" s="11"/>
      <c r="AAV7" s="11"/>
      <c r="AAW7" s="11"/>
      <c r="AAX7" s="11"/>
      <c r="AAY7" s="11"/>
      <c r="AAZ7" s="11"/>
      <c r="ABA7" s="11"/>
      <c r="ABB7" s="11"/>
      <c r="ABC7" s="11"/>
      <c r="ABD7" s="11"/>
      <c r="ABE7" s="11"/>
      <c r="ABF7" s="11"/>
      <c r="ABG7" s="11"/>
      <c r="ABH7" s="11"/>
      <c r="ABI7" s="11"/>
      <c r="ABJ7" s="11"/>
      <c r="ABK7" s="11"/>
      <c r="ABL7" s="11"/>
      <c r="ABM7" s="11"/>
      <c r="ABN7" s="11"/>
      <c r="ABO7" s="11"/>
      <c r="ABP7" s="11"/>
      <c r="ABQ7" s="11"/>
      <c r="ABR7" s="11"/>
      <c r="ABS7" s="11"/>
      <c r="ABT7" s="11"/>
      <c r="ABU7" s="11"/>
      <c r="ABV7" s="11"/>
      <c r="ABW7" s="11"/>
      <c r="ABX7" s="11"/>
      <c r="ABY7" s="11"/>
      <c r="ABZ7" s="11"/>
      <c r="ACA7" s="11"/>
      <c r="ACB7" s="11"/>
      <c r="ACC7" s="11"/>
      <c r="ACD7" s="11"/>
      <c r="ACE7" s="11"/>
      <c r="ACF7" s="11"/>
      <c r="ACG7" s="11"/>
      <c r="ACH7" s="11"/>
      <c r="ACI7" s="11"/>
      <c r="ACJ7" s="11"/>
      <c r="ACK7" s="11"/>
      <c r="ACL7" s="11"/>
      <c r="ACM7" s="11"/>
      <c r="ACN7" s="11"/>
      <c r="ACO7" s="11"/>
      <c r="ACP7" s="11"/>
      <c r="ACQ7" s="11"/>
      <c r="ACR7" s="11"/>
      <c r="ACS7" s="11"/>
      <c r="ACT7" s="11"/>
      <c r="ACU7" s="11"/>
      <c r="ACV7" s="11"/>
      <c r="ACW7" s="11"/>
      <c r="ACX7" s="11"/>
      <c r="ACY7" s="11"/>
      <c r="ACZ7" s="11"/>
      <c r="ADA7" s="11"/>
      <c r="ADB7" s="11"/>
      <c r="ADC7" s="11"/>
      <c r="ADD7" s="11"/>
      <c r="ADE7" s="11"/>
      <c r="ADF7" s="11"/>
      <c r="ADG7" s="11"/>
      <c r="ADH7" s="11"/>
      <c r="ADI7" s="11"/>
      <c r="ADJ7" s="11"/>
      <c r="ADK7" s="11"/>
      <c r="ADL7" s="11"/>
      <c r="ADM7" s="11"/>
      <c r="ADN7" s="11"/>
      <c r="ADO7" s="11"/>
      <c r="ADP7" s="11"/>
      <c r="ADQ7" s="11"/>
      <c r="ADR7" s="11"/>
      <c r="ADS7" s="11"/>
      <c r="ADT7" s="11"/>
      <c r="ADU7" s="11"/>
      <c r="ADV7" s="11"/>
      <c r="ADW7" s="11"/>
      <c r="ADX7" s="11"/>
      <c r="ADY7" s="11"/>
      <c r="ADZ7" s="11"/>
      <c r="AEA7" s="11"/>
      <c r="AEB7" s="11"/>
      <c r="AEC7" s="11"/>
      <c r="AED7" s="11"/>
      <c r="AEE7" s="11"/>
      <c r="AEF7" s="11"/>
      <c r="AEG7" s="11"/>
      <c r="AEH7" s="11"/>
      <c r="AEI7" s="11"/>
      <c r="AEJ7" s="11"/>
      <c r="AEK7" s="11"/>
      <c r="AEL7" s="11"/>
      <c r="AEM7" s="11"/>
      <c r="AEN7" s="11"/>
      <c r="AEO7" s="11"/>
      <c r="AEP7" s="11"/>
      <c r="AEQ7" s="11"/>
      <c r="AER7" s="11"/>
      <c r="AES7" s="11"/>
      <c r="AET7" s="11"/>
      <c r="AEU7" s="11"/>
      <c r="AEV7" s="11"/>
      <c r="AEW7" s="11"/>
      <c r="AEX7" s="11"/>
      <c r="AEY7" s="11"/>
      <c r="AEZ7" s="11"/>
      <c r="AFA7" s="11"/>
      <c r="AFB7" s="11"/>
      <c r="AFC7" s="11"/>
      <c r="AFD7" s="11"/>
      <c r="AFE7" s="11"/>
      <c r="AFF7" s="11"/>
      <c r="AFG7" s="11"/>
      <c r="AFH7" s="11"/>
      <c r="AFI7" s="11"/>
      <c r="AFJ7" s="11"/>
      <c r="AFK7" s="11"/>
      <c r="AFL7" s="11"/>
      <c r="AFM7" s="11"/>
      <c r="AFN7" s="11"/>
      <c r="AFO7" s="11"/>
      <c r="AFP7" s="11"/>
      <c r="AFQ7" s="11"/>
      <c r="AFR7" s="11"/>
      <c r="AFS7" s="11"/>
      <c r="AFT7" s="11"/>
      <c r="AFU7" s="11"/>
      <c r="AFV7" s="11"/>
      <c r="AFW7" s="11"/>
      <c r="AFX7" s="11"/>
      <c r="AFY7" s="11"/>
      <c r="AFZ7" s="11"/>
      <c r="AGA7" s="11"/>
      <c r="AGB7" s="11"/>
      <c r="AGC7" s="11"/>
      <c r="AGD7" s="11"/>
      <c r="AGE7" s="11"/>
      <c r="AGF7" s="11"/>
      <c r="AGG7" s="11"/>
      <c r="AGH7" s="11"/>
      <c r="AGI7" s="11"/>
      <c r="AGJ7" s="11"/>
      <c r="AGK7" s="11"/>
      <c r="AGL7" s="11"/>
      <c r="AGM7" s="11"/>
      <c r="AGN7" s="11"/>
      <c r="AGO7" s="11"/>
      <c r="AGP7" s="11"/>
      <c r="AGQ7" s="11"/>
      <c r="AGR7" s="11"/>
      <c r="AGS7" s="11"/>
      <c r="AGT7" s="11"/>
      <c r="AGU7" s="11"/>
      <c r="AGV7" s="11"/>
      <c r="AGW7" s="11"/>
      <c r="AGX7" s="11"/>
      <c r="AGY7" s="11"/>
      <c r="AGZ7" s="11"/>
      <c r="AHA7" s="11"/>
      <c r="AHB7" s="11"/>
      <c r="AHC7" s="11"/>
      <c r="AHD7" s="11"/>
      <c r="AHE7" s="11"/>
      <c r="AHF7" s="11"/>
      <c r="AHG7" s="11"/>
      <c r="AHH7" s="11"/>
      <c r="AHI7" s="11"/>
      <c r="AHJ7" s="11"/>
      <c r="AHK7" s="11"/>
      <c r="AHL7" s="11"/>
      <c r="AHM7" s="11"/>
      <c r="AHN7" s="11"/>
      <c r="AHO7" s="11"/>
      <c r="AHP7" s="11"/>
      <c r="AHQ7" s="11"/>
      <c r="AHR7" s="11"/>
      <c r="AHS7" s="11"/>
      <c r="AHT7" s="11"/>
      <c r="AHU7" s="11"/>
      <c r="AHV7" s="11"/>
      <c r="AHW7" s="11"/>
      <c r="AHX7" s="11"/>
      <c r="AHY7" s="11"/>
      <c r="AHZ7" s="11"/>
      <c r="AIA7" s="11"/>
      <c r="AIB7" s="11"/>
      <c r="AIC7" s="11"/>
      <c r="AID7" s="11"/>
      <c r="AIE7" s="11"/>
      <c r="AIF7" s="11"/>
      <c r="AIG7" s="11"/>
      <c r="AIH7" s="11"/>
      <c r="AII7" s="11"/>
      <c r="AIJ7" s="11"/>
      <c r="AIK7" s="11"/>
      <c r="AIL7" s="11"/>
      <c r="AIM7" s="11"/>
      <c r="AIN7" s="11"/>
      <c r="AIO7" s="11"/>
      <c r="AIP7" s="11"/>
      <c r="AIQ7" s="11"/>
      <c r="AIR7" s="11"/>
      <c r="AIS7" s="11"/>
      <c r="AIT7" s="11"/>
      <c r="AIU7" s="11"/>
      <c r="AIV7" s="11"/>
      <c r="AIW7" s="11"/>
      <c r="AIX7" s="11"/>
      <c r="AIY7" s="11"/>
      <c r="AIZ7" s="11"/>
      <c r="AJA7" s="11"/>
      <c r="AJB7" s="11"/>
      <c r="AJC7" s="11"/>
      <c r="AJD7" s="11"/>
      <c r="AJE7" s="11"/>
      <c r="AJF7" s="11"/>
      <c r="AJG7" s="11"/>
      <c r="AJH7" s="11"/>
      <c r="AJI7" s="11"/>
      <c r="AJJ7" s="11"/>
      <c r="AJK7" s="11"/>
      <c r="AJL7" s="11"/>
      <c r="AJM7" s="11"/>
      <c r="AJN7" s="11"/>
      <c r="AJO7" s="11"/>
      <c r="AJP7" s="11"/>
      <c r="AJQ7" s="11"/>
      <c r="AJR7" s="11"/>
      <c r="AJS7" s="11"/>
      <c r="AJT7" s="11"/>
      <c r="AJU7" s="11"/>
      <c r="AJV7" s="11"/>
      <c r="AJW7" s="11"/>
      <c r="AJX7" s="11"/>
      <c r="AJY7" s="11"/>
      <c r="AJZ7" s="11"/>
      <c r="AKA7" s="11"/>
      <c r="AKB7" s="11"/>
      <c r="AKC7" s="11"/>
      <c r="AKD7" s="11"/>
      <c r="AKE7" s="11"/>
      <c r="AKF7" s="11"/>
      <c r="AKG7" s="11"/>
      <c r="AKH7" s="11"/>
      <c r="AKI7" s="11"/>
      <c r="AKJ7" s="11"/>
      <c r="AKK7" s="11"/>
      <c r="AKL7" s="11"/>
      <c r="AKM7" s="11"/>
      <c r="AKN7" s="11"/>
      <c r="AKO7" s="11"/>
      <c r="AKP7" s="11"/>
      <c r="AKQ7" s="11"/>
      <c r="AKR7" s="11"/>
      <c r="AKS7" s="11"/>
      <c r="AKT7" s="11"/>
      <c r="AKU7" s="11"/>
      <c r="AKV7" s="11"/>
      <c r="AKW7" s="11"/>
      <c r="AKX7" s="11"/>
      <c r="AKY7" s="11"/>
      <c r="AKZ7" s="11"/>
      <c r="ALA7" s="11"/>
      <c r="ALB7" s="11"/>
      <c r="ALC7" s="11"/>
      <c r="ALD7" s="11"/>
      <c r="ALE7" s="11"/>
      <c r="ALF7" s="11"/>
      <c r="ALG7" s="11"/>
      <c r="ALH7" s="11"/>
      <c r="ALI7" s="11"/>
      <c r="ALJ7" s="11"/>
      <c r="ALK7" s="11"/>
      <c r="ALL7" s="11"/>
      <c r="ALM7" s="11"/>
      <c r="ALN7" s="11"/>
      <c r="ALO7" s="11"/>
      <c r="ALP7" s="11"/>
      <c r="ALQ7" s="11"/>
      <c r="ALR7" s="11"/>
      <c r="ALS7" s="11"/>
      <c r="ALT7" s="11"/>
      <c r="ALU7" s="11"/>
      <c r="ALV7" s="11"/>
      <c r="ALW7" s="11"/>
      <c r="ALX7" s="11"/>
      <c r="ALY7" s="11"/>
      <c r="ALZ7" s="11"/>
      <c r="AMA7" s="11"/>
      <c r="AMB7" s="11"/>
      <c r="AMC7" s="11"/>
      <c r="AMD7" s="11"/>
      <c r="AME7" s="11"/>
      <c r="AMF7" s="11"/>
      <c r="AMG7" s="11"/>
      <c r="AMH7" s="11"/>
      <c r="AMI7" s="11"/>
      <c r="AMJ7" s="11"/>
      <c r="AMK7" s="11"/>
      <c r="AML7" s="11"/>
      <c r="AMM7" s="11"/>
      <c r="AMN7" s="11"/>
      <c r="AMO7" s="11"/>
      <c r="AMP7" s="11"/>
      <c r="AMQ7" s="11"/>
      <c r="AMR7" s="11"/>
      <c r="AMS7" s="11"/>
      <c r="AMT7" s="11"/>
      <c r="AMU7" s="11"/>
      <c r="AMV7" s="11"/>
      <c r="AMW7" s="11"/>
      <c r="AMX7" s="11"/>
      <c r="AMY7" s="11"/>
      <c r="AMZ7" s="11"/>
      <c r="ANA7" s="11"/>
      <c r="ANB7" s="11"/>
      <c r="ANC7" s="11"/>
      <c r="AND7" s="11"/>
      <c r="ANE7" s="11"/>
      <c r="ANF7" s="11"/>
      <c r="ANG7" s="11"/>
      <c r="ANH7" s="11"/>
      <c r="ANI7" s="11"/>
      <c r="ANJ7" s="11"/>
      <c r="ANK7" s="11"/>
      <c r="ANL7" s="11"/>
      <c r="ANM7" s="11"/>
      <c r="ANN7" s="11"/>
      <c r="ANO7" s="11"/>
      <c r="ANP7" s="11"/>
      <c r="ANQ7" s="11"/>
      <c r="ANR7" s="11"/>
      <c r="ANS7" s="11"/>
      <c r="ANT7" s="11"/>
      <c r="ANU7" s="11"/>
      <c r="ANV7" s="11"/>
      <c r="ANW7" s="11"/>
      <c r="ANX7" s="11"/>
      <c r="ANY7" s="11"/>
      <c r="ANZ7" s="11"/>
      <c r="AOA7" s="11"/>
      <c r="AOB7" s="11"/>
      <c r="AOC7" s="11"/>
      <c r="AOD7" s="11"/>
      <c r="AOE7" s="11"/>
      <c r="AOF7" s="11"/>
      <c r="AOG7" s="11"/>
      <c r="AOH7" s="11"/>
      <c r="AOI7" s="11"/>
      <c r="AOJ7" s="11"/>
      <c r="AOK7" s="11"/>
      <c r="AOL7" s="11"/>
      <c r="AOM7" s="11"/>
      <c r="AON7" s="11"/>
      <c r="AOO7" s="11"/>
      <c r="AOP7" s="11"/>
      <c r="AOQ7" s="11"/>
      <c r="AOR7" s="11"/>
      <c r="AOS7" s="11"/>
      <c r="AOT7" s="11"/>
      <c r="AOU7" s="11"/>
      <c r="AOV7" s="11"/>
      <c r="AOW7" s="11"/>
      <c r="AOX7" s="11"/>
      <c r="AOY7" s="11"/>
      <c r="AOZ7" s="11"/>
      <c r="APA7" s="11"/>
      <c r="APB7" s="11"/>
      <c r="APC7" s="11"/>
      <c r="APD7" s="11"/>
      <c r="APE7" s="11"/>
      <c r="APF7" s="11"/>
      <c r="APG7" s="11"/>
      <c r="APH7" s="11"/>
      <c r="API7" s="11"/>
      <c r="APJ7" s="11"/>
      <c r="APK7" s="11"/>
      <c r="APL7" s="11"/>
      <c r="APM7" s="11"/>
      <c r="APN7" s="11"/>
      <c r="APO7" s="11"/>
      <c r="APP7" s="11"/>
      <c r="APQ7" s="11"/>
      <c r="APR7" s="11"/>
      <c r="APS7" s="11"/>
      <c r="APT7" s="11"/>
      <c r="APU7" s="11"/>
      <c r="APV7" s="11"/>
      <c r="APW7" s="11"/>
      <c r="APX7" s="11"/>
      <c r="APY7" s="11"/>
      <c r="APZ7" s="11"/>
      <c r="AQA7" s="11"/>
      <c r="AQB7" s="11"/>
      <c r="AQC7" s="11"/>
      <c r="AQD7" s="11"/>
      <c r="AQE7" s="11"/>
      <c r="AQF7" s="11"/>
      <c r="AQG7" s="11"/>
      <c r="AQH7" s="11"/>
      <c r="AQI7" s="11"/>
      <c r="AQJ7" s="11"/>
      <c r="AQK7" s="11"/>
      <c r="AQL7" s="11"/>
      <c r="AQM7" s="11"/>
      <c r="AQN7" s="11"/>
      <c r="AQO7" s="11"/>
      <c r="AQP7" s="11"/>
      <c r="AQQ7" s="11"/>
      <c r="AQR7" s="11"/>
      <c r="AQS7" s="11"/>
      <c r="AQT7" s="11"/>
      <c r="AQU7" s="11"/>
      <c r="AQV7" s="11"/>
      <c r="AQW7" s="11"/>
      <c r="AQX7" s="11"/>
      <c r="AQY7" s="11"/>
      <c r="AQZ7" s="11"/>
      <c r="ARA7" s="11"/>
      <c r="ARB7" s="11"/>
      <c r="ARC7" s="11"/>
      <c r="ARD7" s="11"/>
      <c r="ARE7" s="11"/>
      <c r="ARF7" s="11"/>
      <c r="ARG7" s="11"/>
      <c r="ARH7" s="11"/>
      <c r="ARI7" s="11"/>
      <c r="ARJ7" s="11"/>
      <c r="ARK7" s="11"/>
      <c r="ARL7" s="11"/>
      <c r="ARM7" s="11"/>
      <c r="ARN7" s="11"/>
      <c r="ARO7" s="11"/>
      <c r="ARP7" s="11"/>
      <c r="ARQ7" s="11"/>
      <c r="ARR7" s="11"/>
      <c r="ARS7" s="11"/>
      <c r="ART7" s="11"/>
      <c r="ARU7" s="11"/>
      <c r="ARV7" s="11"/>
      <c r="ARW7" s="11"/>
      <c r="ARX7" s="11"/>
      <c r="ARY7" s="11"/>
      <c r="ARZ7" s="11"/>
      <c r="ASA7" s="11"/>
      <c r="ASB7" s="11"/>
      <c r="ASC7" s="11"/>
      <c r="ASD7" s="11"/>
      <c r="ASE7" s="11"/>
      <c r="ASF7" s="11"/>
      <c r="ASG7" s="11"/>
      <c r="ASH7" s="11"/>
      <c r="ASI7" s="11"/>
      <c r="ASJ7" s="11"/>
      <c r="ASK7" s="11"/>
      <c r="ASL7" s="11"/>
      <c r="ASM7" s="11"/>
      <c r="ASN7" s="11"/>
      <c r="ASO7" s="11"/>
      <c r="ASP7" s="11"/>
      <c r="ASQ7" s="11"/>
      <c r="ASR7" s="11"/>
      <c r="ASS7" s="11"/>
      <c r="AST7" s="11"/>
      <c r="ASU7" s="11"/>
      <c r="ASV7" s="11"/>
      <c r="ASW7" s="11"/>
      <c r="ASX7" s="11"/>
      <c r="ASY7" s="11"/>
      <c r="ASZ7" s="11"/>
      <c r="ATA7" s="11"/>
      <c r="ATB7" s="11"/>
      <c r="ATC7" s="11"/>
      <c r="ATD7" s="11"/>
      <c r="ATE7" s="11"/>
      <c r="ATF7" s="11"/>
      <c r="ATG7" s="11"/>
      <c r="ATH7" s="11"/>
      <c r="ATI7" s="11"/>
      <c r="ATJ7" s="11"/>
      <c r="ATK7" s="11"/>
      <c r="ATL7" s="11"/>
      <c r="ATM7" s="11"/>
      <c r="ATN7" s="11"/>
      <c r="ATO7" s="11"/>
      <c r="ATP7" s="11"/>
      <c r="ATQ7" s="11"/>
      <c r="ATR7" s="11"/>
      <c r="ATS7" s="11"/>
      <c r="ATT7" s="11"/>
      <c r="ATU7" s="11"/>
      <c r="ATV7" s="11"/>
      <c r="ATW7" s="11"/>
      <c r="ATX7" s="11"/>
      <c r="ATY7" s="11"/>
      <c r="ATZ7" s="11"/>
      <c r="AUA7" s="11"/>
      <c r="AUB7" s="11"/>
      <c r="AUC7" s="11"/>
      <c r="AUD7" s="11"/>
      <c r="AUE7" s="11"/>
      <c r="AUF7" s="11"/>
      <c r="AUG7" s="11"/>
      <c r="AUH7" s="11"/>
      <c r="AUI7" s="11"/>
      <c r="AUJ7" s="11"/>
      <c r="AUK7" s="11"/>
      <c r="AUL7" s="11"/>
      <c r="AUM7" s="11"/>
      <c r="AUN7" s="11"/>
      <c r="AUO7" s="11"/>
      <c r="AUP7" s="11"/>
      <c r="AUQ7" s="11"/>
      <c r="AUR7" s="11"/>
      <c r="AUS7" s="11"/>
      <c r="AUT7" s="11"/>
      <c r="AUU7" s="11"/>
      <c r="AUV7" s="11"/>
      <c r="AUW7" s="11"/>
      <c r="AUX7" s="11"/>
      <c r="AUY7" s="11"/>
      <c r="AUZ7" s="11"/>
      <c r="AVA7" s="11"/>
      <c r="AVB7" s="11"/>
      <c r="AVC7" s="11"/>
      <c r="AVD7" s="11"/>
      <c r="AVE7" s="11"/>
      <c r="AVF7" s="11"/>
      <c r="AVG7" s="11"/>
      <c r="AVH7" s="11"/>
      <c r="AVI7" s="11"/>
      <c r="AVJ7" s="11"/>
      <c r="AVK7" s="11"/>
      <c r="AVL7" s="11"/>
      <c r="AVM7" s="11"/>
      <c r="AVN7" s="11"/>
      <c r="AVO7" s="11"/>
      <c r="AVP7" s="11"/>
      <c r="AVQ7" s="11"/>
      <c r="AVR7" s="11"/>
      <c r="AVS7" s="11"/>
      <c r="AVT7" s="11"/>
      <c r="AVU7" s="11"/>
      <c r="AVV7" s="11"/>
      <c r="AVW7" s="11"/>
      <c r="AVX7" s="11"/>
      <c r="AVY7" s="11"/>
      <c r="AVZ7" s="11"/>
      <c r="AWA7" s="11"/>
      <c r="AWB7" s="11"/>
      <c r="AWC7" s="11"/>
      <c r="AWD7" s="11"/>
      <c r="AWE7" s="11"/>
      <c r="AWF7" s="11"/>
      <c r="AWG7" s="11"/>
      <c r="AWH7" s="11"/>
      <c r="AWI7" s="11"/>
      <c r="AWJ7" s="11"/>
      <c r="AWK7" s="11"/>
      <c r="AWL7" s="11"/>
      <c r="AWM7" s="11"/>
      <c r="AWN7" s="11"/>
      <c r="AWO7" s="11"/>
      <c r="AWP7" s="11"/>
      <c r="AWQ7" s="11"/>
      <c r="AWR7" s="11"/>
      <c r="AWS7" s="11"/>
      <c r="AWT7" s="11"/>
      <c r="AWU7" s="11"/>
      <c r="AWV7" s="11"/>
      <c r="AWW7" s="11"/>
      <c r="AWX7" s="11"/>
      <c r="AWY7" s="11"/>
      <c r="AWZ7" s="11"/>
      <c r="AXA7" s="11"/>
      <c r="AXB7" s="11"/>
      <c r="AXC7" s="11"/>
      <c r="AXD7" s="11"/>
      <c r="AXE7" s="11"/>
      <c r="AXF7" s="11"/>
      <c r="AXG7" s="11"/>
      <c r="AXH7" s="11"/>
      <c r="AXI7" s="11"/>
      <c r="AXJ7" s="11"/>
      <c r="AXK7" s="11"/>
      <c r="AXL7" s="11"/>
      <c r="AXM7" s="11"/>
      <c r="AXN7" s="11"/>
      <c r="AXO7" s="11"/>
      <c r="AXP7" s="11"/>
      <c r="AXQ7" s="11"/>
      <c r="AXR7" s="11"/>
      <c r="AXS7" s="11"/>
      <c r="AXT7" s="11"/>
      <c r="AXU7" s="11"/>
      <c r="AXV7" s="11"/>
      <c r="AXW7" s="11"/>
      <c r="AXX7" s="11"/>
      <c r="AXY7" s="11"/>
      <c r="AXZ7" s="11"/>
      <c r="AYA7" s="11"/>
      <c r="AYB7" s="11"/>
      <c r="AYC7" s="11"/>
      <c r="AYD7" s="11"/>
      <c r="AYE7" s="11"/>
      <c r="AYF7" s="11"/>
      <c r="AYG7" s="11"/>
      <c r="AYH7" s="11"/>
      <c r="AYI7" s="11"/>
      <c r="AYJ7" s="11"/>
      <c r="AYK7" s="11"/>
      <c r="AYL7" s="11"/>
      <c r="AYM7" s="11"/>
      <c r="AYN7" s="11"/>
      <c r="AYO7" s="11"/>
      <c r="AYP7" s="11"/>
      <c r="AYQ7" s="11"/>
      <c r="AYR7" s="11"/>
      <c r="AYS7" s="11"/>
      <c r="AYT7" s="11"/>
      <c r="AYU7" s="11"/>
      <c r="AYV7" s="11"/>
      <c r="AYW7" s="11"/>
      <c r="AYX7" s="11"/>
      <c r="AYY7" s="11"/>
      <c r="AYZ7" s="11"/>
      <c r="AZA7" s="11"/>
      <c r="AZB7" s="11"/>
      <c r="AZC7" s="11"/>
      <c r="AZD7" s="11"/>
      <c r="AZE7" s="11"/>
      <c r="AZF7" s="11"/>
      <c r="AZG7" s="11"/>
      <c r="AZH7" s="11"/>
      <c r="AZI7" s="11"/>
      <c r="AZJ7" s="11"/>
      <c r="AZK7" s="11"/>
      <c r="AZL7" s="11"/>
      <c r="AZM7" s="11"/>
      <c r="AZN7" s="11"/>
      <c r="AZO7" s="11"/>
      <c r="AZP7" s="11"/>
      <c r="AZQ7" s="11"/>
      <c r="AZR7" s="11"/>
      <c r="AZS7" s="11"/>
      <c r="AZT7" s="11"/>
      <c r="AZU7" s="11"/>
      <c r="AZV7" s="11"/>
      <c r="AZW7" s="11"/>
      <c r="AZX7" s="11"/>
      <c r="AZY7" s="11"/>
      <c r="AZZ7" s="11"/>
      <c r="BAA7" s="11"/>
      <c r="BAB7" s="11"/>
      <c r="BAC7" s="11"/>
      <c r="BAD7" s="11"/>
      <c r="BAE7" s="11"/>
      <c r="BAF7" s="11"/>
      <c r="BAG7" s="11"/>
      <c r="BAH7" s="11"/>
      <c r="BAI7" s="11"/>
      <c r="BAJ7" s="11"/>
      <c r="BAK7" s="11"/>
      <c r="BAL7" s="11"/>
      <c r="BAM7" s="11"/>
      <c r="BAN7" s="11"/>
      <c r="BAO7" s="11"/>
      <c r="BAP7" s="11"/>
      <c r="BAQ7" s="11"/>
      <c r="BAR7" s="11"/>
      <c r="BAS7" s="11"/>
      <c r="BAT7" s="11"/>
      <c r="BAU7" s="11"/>
      <c r="BAV7" s="11"/>
      <c r="BAW7" s="11"/>
      <c r="BAX7" s="11"/>
      <c r="BAY7" s="11"/>
      <c r="BAZ7" s="11"/>
      <c r="BBA7" s="11"/>
      <c r="BBB7" s="11"/>
      <c r="BBC7" s="11"/>
      <c r="BBD7" s="11"/>
      <c r="BBE7" s="11"/>
      <c r="BBF7" s="11"/>
      <c r="BBG7" s="11"/>
      <c r="BBH7" s="11"/>
      <c r="BBI7" s="11"/>
      <c r="BBJ7" s="11"/>
      <c r="BBK7" s="11"/>
      <c r="BBL7" s="11"/>
      <c r="BBM7" s="11"/>
      <c r="BBN7" s="11"/>
      <c r="BBO7" s="11"/>
      <c r="BBP7" s="11"/>
      <c r="BBQ7" s="11"/>
      <c r="BBR7" s="11"/>
      <c r="BBS7" s="11"/>
      <c r="BBT7" s="11"/>
      <c r="BBU7" s="11"/>
      <c r="BBV7" s="11"/>
      <c r="BBW7" s="11"/>
      <c r="BBX7" s="11"/>
      <c r="BBY7" s="11"/>
      <c r="BBZ7" s="11"/>
      <c r="BCA7" s="11"/>
      <c r="BCB7" s="11"/>
      <c r="BCC7" s="11"/>
      <c r="BCD7" s="11"/>
      <c r="BCE7" s="11"/>
      <c r="BCF7" s="11"/>
      <c r="BCG7" s="11"/>
      <c r="BCH7" s="11"/>
      <c r="BCI7" s="11"/>
      <c r="BCJ7" s="11"/>
      <c r="BCK7" s="11"/>
      <c r="BCL7" s="11"/>
      <c r="BCM7" s="11"/>
      <c r="BCN7" s="11"/>
      <c r="BCO7" s="11"/>
      <c r="BCP7" s="11"/>
      <c r="BCQ7" s="11"/>
      <c r="BCR7" s="11"/>
      <c r="BCS7" s="11"/>
      <c r="BCT7" s="11"/>
      <c r="BCU7" s="11"/>
      <c r="BCV7" s="11"/>
      <c r="BCW7" s="11"/>
      <c r="BCX7" s="11"/>
      <c r="BCY7" s="11"/>
      <c r="BCZ7" s="11"/>
      <c r="BDA7" s="11"/>
      <c r="BDB7" s="11"/>
      <c r="BDC7" s="11"/>
      <c r="BDD7" s="11"/>
      <c r="BDE7" s="11"/>
      <c r="BDF7" s="11"/>
      <c r="BDG7" s="11"/>
      <c r="BDH7" s="11"/>
      <c r="BDI7" s="11"/>
      <c r="BDJ7" s="11"/>
      <c r="BDK7" s="11"/>
      <c r="BDL7" s="11"/>
      <c r="BDM7" s="11"/>
      <c r="BDN7" s="11"/>
      <c r="BDO7" s="11"/>
      <c r="BDP7" s="11"/>
      <c r="BDQ7" s="11"/>
      <c r="BDR7" s="11"/>
      <c r="BDS7" s="11"/>
      <c r="BDT7" s="11"/>
      <c r="BDU7" s="11"/>
      <c r="BDV7" s="11"/>
      <c r="BDW7" s="11"/>
      <c r="BDX7" s="11"/>
      <c r="BDY7" s="11"/>
      <c r="BDZ7" s="11"/>
      <c r="BEA7" s="11"/>
      <c r="BEB7" s="11"/>
      <c r="BEC7" s="11"/>
      <c r="BED7" s="11"/>
      <c r="BEE7" s="11"/>
      <c r="BEF7" s="11"/>
      <c r="BEG7" s="11"/>
      <c r="BEH7" s="11"/>
      <c r="BEI7" s="11"/>
      <c r="BEJ7" s="11"/>
      <c r="BEK7" s="11"/>
      <c r="BEL7" s="11"/>
      <c r="BEM7" s="11"/>
      <c r="BEN7" s="11"/>
      <c r="BEO7" s="11"/>
      <c r="BEP7" s="11"/>
      <c r="BEQ7" s="11"/>
      <c r="BER7" s="11"/>
      <c r="BES7" s="11"/>
      <c r="BET7" s="11"/>
      <c r="BEU7" s="11"/>
      <c r="BEV7" s="11"/>
      <c r="BEW7" s="11"/>
      <c r="BEX7" s="11"/>
      <c r="BEY7" s="11"/>
      <c r="BEZ7" s="11"/>
      <c r="BFA7" s="11"/>
      <c r="BFB7" s="11"/>
      <c r="BFC7" s="11"/>
      <c r="BFD7" s="11"/>
      <c r="BFE7" s="11"/>
      <c r="BFF7" s="11"/>
      <c r="BFG7" s="11"/>
      <c r="BFH7" s="11"/>
      <c r="BFI7" s="11"/>
      <c r="BFJ7" s="11"/>
      <c r="BFK7" s="11"/>
      <c r="BFL7" s="11"/>
      <c r="BFM7" s="11"/>
      <c r="BFN7" s="11"/>
      <c r="BFO7" s="11"/>
      <c r="BFP7" s="11"/>
      <c r="BFQ7" s="11"/>
      <c r="BFR7" s="11"/>
      <c r="BFS7" s="11"/>
      <c r="BFT7" s="11"/>
      <c r="BFU7" s="11"/>
      <c r="BFV7" s="11"/>
      <c r="BFW7" s="11"/>
      <c r="BFX7" s="11"/>
      <c r="BFY7" s="11"/>
      <c r="BFZ7" s="11"/>
      <c r="BGA7" s="11"/>
      <c r="BGB7" s="11"/>
      <c r="BGC7" s="11"/>
      <c r="BGD7" s="11"/>
      <c r="BGE7" s="11"/>
      <c r="BGF7" s="11"/>
      <c r="BGG7" s="11"/>
      <c r="BGH7" s="11"/>
      <c r="BGI7" s="11"/>
      <c r="BGJ7" s="11"/>
      <c r="BGK7" s="11"/>
      <c r="BGL7" s="11"/>
      <c r="BGM7" s="11"/>
      <c r="BGN7" s="11"/>
      <c r="BGO7" s="11"/>
      <c r="BGP7" s="11"/>
      <c r="BGQ7" s="11"/>
      <c r="BGR7" s="11"/>
      <c r="BGS7" s="11"/>
      <c r="BGT7" s="11"/>
      <c r="BGU7" s="11"/>
      <c r="BGV7" s="11"/>
      <c r="BGW7" s="11"/>
      <c r="BGX7" s="11"/>
      <c r="BGY7" s="11"/>
      <c r="BGZ7" s="11"/>
      <c r="BHA7" s="11"/>
      <c r="BHB7" s="11"/>
      <c r="BHC7" s="11"/>
      <c r="BHD7" s="11"/>
      <c r="BHE7" s="11"/>
      <c r="BHF7" s="11"/>
      <c r="BHG7" s="11"/>
      <c r="BHH7" s="11"/>
      <c r="BHI7" s="11"/>
      <c r="BHJ7" s="11"/>
      <c r="BHK7" s="11"/>
      <c r="BHL7" s="11"/>
      <c r="BHM7" s="11"/>
      <c r="BHN7" s="11"/>
      <c r="BHO7" s="11"/>
      <c r="BHP7" s="11"/>
      <c r="BHQ7" s="11"/>
      <c r="BHR7" s="11"/>
      <c r="BHS7" s="11"/>
      <c r="BHT7" s="11"/>
      <c r="BHU7" s="11"/>
      <c r="BHV7" s="11"/>
      <c r="BHW7" s="11"/>
      <c r="BHX7" s="11"/>
      <c r="BHY7" s="11"/>
      <c r="BHZ7" s="11"/>
      <c r="BIA7" s="11"/>
      <c r="BIB7" s="11"/>
      <c r="BIC7" s="11"/>
      <c r="BID7" s="11"/>
      <c r="BIE7" s="11"/>
      <c r="BIF7" s="11"/>
      <c r="BIG7" s="11"/>
      <c r="BIH7" s="11"/>
      <c r="BII7" s="11"/>
      <c r="BIJ7" s="11"/>
      <c r="BIK7" s="11"/>
      <c r="BIL7" s="11"/>
      <c r="BIM7" s="11"/>
      <c r="BIN7" s="11"/>
      <c r="BIO7" s="11"/>
      <c r="BIP7" s="11"/>
      <c r="BIQ7" s="11"/>
      <c r="BIR7" s="11"/>
      <c r="BIS7" s="11"/>
      <c r="BIT7" s="11"/>
      <c r="BIU7" s="11"/>
      <c r="BIV7" s="11"/>
      <c r="BIW7" s="11"/>
      <c r="BIX7" s="11"/>
      <c r="BIY7" s="11"/>
      <c r="BIZ7" s="11"/>
      <c r="BJA7" s="11"/>
      <c r="BJB7" s="11"/>
      <c r="BJC7" s="11"/>
      <c r="BJD7" s="11"/>
      <c r="BJE7" s="11"/>
      <c r="BJF7" s="11"/>
      <c r="BJG7" s="11"/>
      <c r="BJH7" s="11"/>
      <c r="BJI7" s="11"/>
      <c r="BJJ7" s="11"/>
      <c r="BJK7" s="11"/>
      <c r="BJL7" s="11"/>
      <c r="BJM7" s="11"/>
      <c r="BJN7" s="11"/>
      <c r="BJO7" s="11"/>
      <c r="BJP7" s="11"/>
      <c r="BJQ7" s="11"/>
      <c r="BJR7" s="11"/>
      <c r="BJS7" s="11"/>
      <c r="BJT7" s="11"/>
      <c r="BJU7" s="11"/>
      <c r="BJV7" s="11"/>
      <c r="BJW7" s="11"/>
      <c r="BJX7" s="11"/>
      <c r="BJY7" s="11"/>
      <c r="BJZ7" s="11"/>
      <c r="BKA7" s="11"/>
      <c r="BKB7" s="11"/>
      <c r="BKC7" s="11"/>
      <c r="BKD7" s="11"/>
      <c r="BKE7" s="11"/>
      <c r="BKF7" s="11"/>
      <c r="BKG7" s="11"/>
      <c r="BKH7" s="11"/>
      <c r="BKI7" s="11"/>
      <c r="BKJ7" s="11"/>
      <c r="BKK7" s="11"/>
      <c r="BKL7" s="11"/>
      <c r="BKM7" s="11"/>
      <c r="BKN7" s="11"/>
      <c r="BKO7" s="11"/>
      <c r="BKP7" s="11"/>
      <c r="BKQ7" s="11"/>
      <c r="BKR7" s="11"/>
      <c r="BKS7" s="11"/>
      <c r="BKT7" s="11"/>
      <c r="BKU7" s="11"/>
      <c r="BKV7" s="11"/>
      <c r="BKW7" s="11"/>
      <c r="BKX7" s="11"/>
      <c r="BKY7" s="11"/>
      <c r="BKZ7" s="11"/>
      <c r="BLA7" s="11"/>
      <c r="BLB7" s="11"/>
      <c r="BLC7" s="11"/>
      <c r="BLD7" s="11"/>
      <c r="BLE7" s="11"/>
      <c r="BLF7" s="11"/>
      <c r="BLG7" s="11"/>
      <c r="BLH7" s="11"/>
      <c r="BLI7" s="11"/>
      <c r="BLJ7" s="11"/>
      <c r="BLK7" s="11"/>
      <c r="BLL7" s="11"/>
      <c r="BLM7" s="11"/>
      <c r="BLN7" s="11"/>
      <c r="BLO7" s="11"/>
      <c r="BLP7" s="11"/>
      <c r="BLQ7" s="11"/>
      <c r="BLR7" s="11"/>
      <c r="BLS7" s="11"/>
      <c r="BLT7" s="11"/>
      <c r="BLU7" s="11"/>
      <c r="BLV7" s="11"/>
      <c r="BLW7" s="11"/>
      <c r="BLX7" s="11"/>
      <c r="BLY7" s="11"/>
      <c r="BLZ7" s="11"/>
      <c r="BMA7" s="11"/>
      <c r="BMB7" s="11"/>
      <c r="BMC7" s="11"/>
      <c r="BMD7" s="11"/>
      <c r="BME7" s="11"/>
      <c r="BMF7" s="11"/>
      <c r="BMG7" s="11"/>
      <c r="BMH7" s="11"/>
      <c r="BMI7" s="11"/>
      <c r="BMJ7" s="11"/>
      <c r="BMK7" s="11"/>
      <c r="BML7" s="11"/>
      <c r="BMM7" s="11"/>
      <c r="BMN7" s="11"/>
      <c r="BMO7" s="11"/>
      <c r="BMP7" s="11"/>
      <c r="BMQ7" s="11"/>
      <c r="BMR7" s="11"/>
      <c r="BMS7" s="11"/>
      <c r="BMT7" s="11"/>
      <c r="BMU7" s="11"/>
      <c r="BMV7" s="11"/>
      <c r="BMW7" s="11"/>
      <c r="BMX7" s="11"/>
      <c r="BMY7" s="11"/>
      <c r="BMZ7" s="11"/>
      <c r="BNA7" s="11"/>
      <c r="BNB7" s="11"/>
      <c r="BNC7" s="11"/>
      <c r="BND7" s="11"/>
      <c r="BNE7" s="11"/>
      <c r="BNF7" s="11"/>
      <c r="BNG7" s="11"/>
      <c r="BNH7" s="11"/>
      <c r="BNI7" s="11"/>
      <c r="BNJ7" s="11"/>
      <c r="BNK7" s="11"/>
      <c r="BNL7" s="11"/>
      <c r="BNM7" s="11"/>
      <c r="BNN7" s="11"/>
      <c r="BNO7" s="11"/>
      <c r="BNP7" s="11"/>
      <c r="BNQ7" s="11"/>
      <c r="BNR7" s="11"/>
      <c r="BNS7" s="11"/>
      <c r="BNT7" s="11"/>
      <c r="BNU7" s="11"/>
      <c r="BNV7" s="11"/>
      <c r="BNW7" s="11"/>
      <c r="BNX7" s="11"/>
      <c r="BNY7" s="11"/>
      <c r="BNZ7" s="11"/>
      <c r="BOA7" s="11"/>
      <c r="BOB7" s="11"/>
      <c r="BOC7" s="11"/>
      <c r="BOD7" s="11"/>
      <c r="BOE7" s="11"/>
      <c r="BOF7" s="11"/>
      <c r="BOG7" s="11"/>
      <c r="BOH7" s="11"/>
      <c r="BOI7" s="11"/>
      <c r="BOJ7" s="11"/>
      <c r="BOK7" s="11"/>
      <c r="BOL7" s="11"/>
      <c r="BOM7" s="11"/>
      <c r="BON7" s="11"/>
      <c r="BOO7" s="11"/>
      <c r="BOP7" s="11"/>
      <c r="BOQ7" s="11"/>
      <c r="BOR7" s="11"/>
      <c r="BOS7" s="11"/>
      <c r="BOT7" s="11"/>
      <c r="BOU7" s="11"/>
      <c r="BOV7" s="11"/>
      <c r="BOW7" s="11"/>
      <c r="BOX7" s="11"/>
      <c r="BOY7" s="11"/>
      <c r="BOZ7" s="11"/>
      <c r="BPA7" s="11"/>
      <c r="BPB7" s="11"/>
      <c r="BPC7" s="11"/>
      <c r="BPD7" s="11"/>
      <c r="BPE7" s="11"/>
      <c r="BPF7" s="11"/>
      <c r="BPG7" s="11"/>
      <c r="BPH7" s="11"/>
      <c r="BPI7" s="11"/>
      <c r="BPJ7" s="11"/>
      <c r="BPK7" s="11"/>
      <c r="BPL7" s="11"/>
      <c r="BPM7" s="11"/>
      <c r="BPN7" s="11"/>
      <c r="BPO7" s="11"/>
      <c r="BPP7" s="11"/>
      <c r="BPQ7" s="11"/>
      <c r="BPR7" s="11"/>
      <c r="BPS7" s="11"/>
      <c r="BPT7" s="11"/>
      <c r="BPU7" s="11"/>
      <c r="BPV7" s="11"/>
      <c r="BPW7" s="11"/>
      <c r="BPX7" s="11"/>
      <c r="BPY7" s="11"/>
      <c r="BPZ7" s="11"/>
      <c r="BQA7" s="11"/>
      <c r="BQB7" s="11"/>
      <c r="BQC7" s="11"/>
      <c r="BQD7" s="11"/>
      <c r="BQE7" s="11"/>
      <c r="BQF7" s="11"/>
      <c r="BQG7" s="11"/>
      <c r="BQH7" s="11"/>
      <c r="BQI7" s="11"/>
      <c r="BQJ7" s="11"/>
      <c r="BQK7" s="11"/>
      <c r="BQL7" s="11"/>
      <c r="BQM7" s="11"/>
      <c r="BQN7" s="11"/>
      <c r="BQO7" s="11"/>
      <c r="BQP7" s="11"/>
      <c r="BQQ7" s="11"/>
      <c r="BQR7" s="11"/>
      <c r="BQS7" s="11"/>
      <c r="BQT7" s="11"/>
      <c r="BQU7" s="11"/>
      <c r="BQV7" s="11"/>
      <c r="BQW7" s="11"/>
      <c r="BQX7" s="11"/>
      <c r="BQY7" s="11"/>
      <c r="BQZ7" s="11"/>
      <c r="BRA7" s="11"/>
      <c r="BRB7" s="11"/>
      <c r="BRC7" s="11"/>
      <c r="BRD7" s="11"/>
      <c r="BRE7" s="11"/>
      <c r="BRF7" s="11"/>
      <c r="BRG7" s="11"/>
      <c r="BRH7" s="11"/>
      <c r="BRI7" s="11"/>
      <c r="BRJ7" s="11"/>
      <c r="BRK7" s="11"/>
      <c r="BRL7" s="11"/>
      <c r="BRM7" s="11"/>
      <c r="BRN7" s="11"/>
      <c r="BRO7" s="11"/>
      <c r="BRP7" s="11"/>
      <c r="BRQ7" s="11"/>
      <c r="BRR7" s="11"/>
      <c r="BRS7" s="11"/>
      <c r="BRT7" s="11"/>
      <c r="BRU7" s="11"/>
      <c r="BRV7" s="11"/>
      <c r="BRW7" s="11"/>
      <c r="BRX7" s="11"/>
      <c r="BRY7" s="11"/>
      <c r="BRZ7" s="11"/>
      <c r="BSA7" s="11"/>
      <c r="BSB7" s="11"/>
      <c r="BSC7" s="11"/>
      <c r="BSD7" s="11"/>
    </row>
    <row r="8" spans="1:1850" s="12" customFormat="1" ht="20.100000000000001" customHeight="1">
      <c r="A8" s="80" t="s">
        <v>1</v>
      </c>
      <c r="B8" s="81"/>
      <c r="C8" s="82">
        <v>41520</v>
      </c>
      <c r="D8" s="83">
        <v>41562</v>
      </c>
      <c r="E8" s="84" t="str">
        <f t="shared" si="0"/>
        <v>43 days</v>
      </c>
      <c r="F8" s="13"/>
      <c r="G8" s="14"/>
      <c r="H8" s="19"/>
      <c r="I8" s="19"/>
      <c r="J8" s="19"/>
      <c r="K8" s="19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7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  <c r="XY8" s="11"/>
      <c r="XZ8" s="11"/>
      <c r="YA8" s="11"/>
      <c r="YB8" s="11"/>
      <c r="YC8" s="11"/>
      <c r="YD8" s="11"/>
      <c r="YE8" s="11"/>
      <c r="YF8" s="11"/>
      <c r="YG8" s="11"/>
      <c r="YH8" s="11"/>
      <c r="YI8" s="11"/>
      <c r="YJ8" s="11"/>
      <c r="YK8" s="11"/>
      <c r="YL8" s="11"/>
      <c r="YM8" s="11"/>
      <c r="YN8" s="11"/>
      <c r="YO8" s="11"/>
      <c r="YP8" s="11"/>
      <c r="YQ8" s="11"/>
      <c r="YR8" s="11"/>
      <c r="YS8" s="11"/>
      <c r="YT8" s="11"/>
      <c r="YU8" s="11"/>
      <c r="YV8" s="11"/>
      <c r="YW8" s="11"/>
      <c r="YX8" s="11"/>
      <c r="YY8" s="11"/>
      <c r="YZ8" s="11"/>
      <c r="ZA8" s="11"/>
      <c r="ZB8" s="11"/>
      <c r="ZC8" s="11"/>
      <c r="ZD8" s="11"/>
      <c r="ZE8" s="11"/>
      <c r="ZF8" s="11"/>
      <c r="ZG8" s="11"/>
      <c r="ZH8" s="11"/>
      <c r="ZI8" s="11"/>
      <c r="ZJ8" s="11"/>
      <c r="ZK8" s="11"/>
      <c r="ZL8" s="11"/>
      <c r="ZM8" s="11"/>
      <c r="ZN8" s="11"/>
      <c r="ZO8" s="11"/>
      <c r="ZP8" s="11"/>
      <c r="ZQ8" s="11"/>
      <c r="ZR8" s="11"/>
      <c r="ZS8" s="11"/>
      <c r="ZT8" s="11"/>
      <c r="ZU8" s="11"/>
      <c r="ZV8" s="11"/>
      <c r="ZW8" s="11"/>
      <c r="ZX8" s="11"/>
      <c r="ZY8" s="11"/>
      <c r="ZZ8" s="11"/>
      <c r="AAA8" s="11"/>
      <c r="AAB8" s="11"/>
      <c r="AAC8" s="11"/>
      <c r="AAD8" s="11"/>
      <c r="AAE8" s="11"/>
      <c r="AAF8" s="11"/>
      <c r="AAG8" s="11"/>
      <c r="AAH8" s="11"/>
      <c r="AAI8" s="11"/>
      <c r="AAJ8" s="11"/>
      <c r="AAK8" s="11"/>
      <c r="AAL8" s="11"/>
      <c r="AAM8" s="11"/>
      <c r="AAN8" s="11"/>
      <c r="AAO8" s="11"/>
      <c r="AAP8" s="11"/>
      <c r="AAQ8" s="11"/>
      <c r="AAR8" s="11"/>
      <c r="AAS8" s="11"/>
      <c r="AAT8" s="11"/>
      <c r="AAU8" s="11"/>
      <c r="AAV8" s="11"/>
      <c r="AAW8" s="11"/>
      <c r="AAX8" s="11"/>
      <c r="AAY8" s="11"/>
      <c r="AAZ8" s="11"/>
      <c r="ABA8" s="11"/>
      <c r="ABB8" s="11"/>
      <c r="ABC8" s="11"/>
      <c r="ABD8" s="11"/>
      <c r="ABE8" s="11"/>
      <c r="ABF8" s="11"/>
      <c r="ABG8" s="11"/>
      <c r="ABH8" s="11"/>
      <c r="ABI8" s="11"/>
      <c r="ABJ8" s="11"/>
      <c r="ABK8" s="11"/>
      <c r="ABL8" s="11"/>
      <c r="ABM8" s="11"/>
      <c r="ABN8" s="11"/>
      <c r="ABO8" s="11"/>
      <c r="ABP8" s="11"/>
      <c r="ABQ8" s="11"/>
      <c r="ABR8" s="11"/>
      <c r="ABS8" s="11"/>
      <c r="ABT8" s="11"/>
      <c r="ABU8" s="11"/>
      <c r="ABV8" s="11"/>
      <c r="ABW8" s="11"/>
      <c r="ABX8" s="11"/>
      <c r="ABY8" s="11"/>
      <c r="ABZ8" s="11"/>
      <c r="ACA8" s="11"/>
      <c r="ACB8" s="11"/>
      <c r="ACC8" s="11"/>
      <c r="ACD8" s="11"/>
      <c r="ACE8" s="11"/>
      <c r="ACF8" s="11"/>
      <c r="ACG8" s="11"/>
      <c r="ACH8" s="11"/>
      <c r="ACI8" s="11"/>
      <c r="ACJ8" s="11"/>
      <c r="ACK8" s="11"/>
      <c r="ACL8" s="11"/>
      <c r="ACM8" s="11"/>
      <c r="ACN8" s="11"/>
      <c r="ACO8" s="11"/>
      <c r="ACP8" s="11"/>
      <c r="ACQ8" s="11"/>
      <c r="ACR8" s="11"/>
      <c r="ACS8" s="11"/>
      <c r="ACT8" s="11"/>
      <c r="ACU8" s="11"/>
      <c r="ACV8" s="11"/>
      <c r="ACW8" s="11"/>
      <c r="ACX8" s="11"/>
      <c r="ACY8" s="11"/>
      <c r="ACZ8" s="11"/>
      <c r="ADA8" s="11"/>
      <c r="ADB8" s="11"/>
      <c r="ADC8" s="11"/>
      <c r="ADD8" s="11"/>
      <c r="ADE8" s="11"/>
      <c r="ADF8" s="11"/>
      <c r="ADG8" s="11"/>
      <c r="ADH8" s="11"/>
      <c r="ADI8" s="11"/>
      <c r="ADJ8" s="11"/>
      <c r="ADK8" s="11"/>
      <c r="ADL8" s="11"/>
      <c r="ADM8" s="11"/>
      <c r="ADN8" s="11"/>
      <c r="ADO8" s="11"/>
      <c r="ADP8" s="11"/>
      <c r="ADQ8" s="11"/>
      <c r="ADR8" s="11"/>
      <c r="ADS8" s="11"/>
      <c r="ADT8" s="11"/>
      <c r="ADU8" s="11"/>
      <c r="ADV8" s="11"/>
      <c r="ADW8" s="11"/>
      <c r="ADX8" s="11"/>
      <c r="ADY8" s="11"/>
      <c r="ADZ8" s="11"/>
      <c r="AEA8" s="11"/>
      <c r="AEB8" s="11"/>
      <c r="AEC8" s="11"/>
      <c r="AED8" s="11"/>
      <c r="AEE8" s="11"/>
      <c r="AEF8" s="11"/>
      <c r="AEG8" s="11"/>
      <c r="AEH8" s="11"/>
      <c r="AEI8" s="11"/>
      <c r="AEJ8" s="11"/>
      <c r="AEK8" s="11"/>
      <c r="AEL8" s="11"/>
      <c r="AEM8" s="11"/>
      <c r="AEN8" s="11"/>
      <c r="AEO8" s="11"/>
      <c r="AEP8" s="11"/>
      <c r="AEQ8" s="11"/>
      <c r="AER8" s="11"/>
      <c r="AES8" s="11"/>
      <c r="AET8" s="11"/>
      <c r="AEU8" s="11"/>
      <c r="AEV8" s="11"/>
      <c r="AEW8" s="11"/>
      <c r="AEX8" s="11"/>
      <c r="AEY8" s="11"/>
      <c r="AEZ8" s="11"/>
      <c r="AFA8" s="11"/>
      <c r="AFB8" s="11"/>
      <c r="AFC8" s="11"/>
      <c r="AFD8" s="11"/>
      <c r="AFE8" s="11"/>
      <c r="AFF8" s="11"/>
      <c r="AFG8" s="11"/>
      <c r="AFH8" s="11"/>
      <c r="AFI8" s="11"/>
      <c r="AFJ8" s="11"/>
      <c r="AFK8" s="11"/>
      <c r="AFL8" s="11"/>
      <c r="AFM8" s="11"/>
      <c r="AFN8" s="11"/>
      <c r="AFO8" s="11"/>
      <c r="AFP8" s="11"/>
      <c r="AFQ8" s="11"/>
      <c r="AFR8" s="11"/>
      <c r="AFS8" s="11"/>
      <c r="AFT8" s="11"/>
      <c r="AFU8" s="11"/>
      <c r="AFV8" s="11"/>
      <c r="AFW8" s="11"/>
      <c r="AFX8" s="11"/>
      <c r="AFY8" s="11"/>
      <c r="AFZ8" s="11"/>
      <c r="AGA8" s="11"/>
      <c r="AGB8" s="11"/>
      <c r="AGC8" s="11"/>
      <c r="AGD8" s="11"/>
      <c r="AGE8" s="11"/>
      <c r="AGF8" s="11"/>
      <c r="AGG8" s="11"/>
      <c r="AGH8" s="11"/>
      <c r="AGI8" s="11"/>
      <c r="AGJ8" s="11"/>
      <c r="AGK8" s="11"/>
      <c r="AGL8" s="11"/>
      <c r="AGM8" s="11"/>
      <c r="AGN8" s="11"/>
      <c r="AGO8" s="11"/>
      <c r="AGP8" s="11"/>
      <c r="AGQ8" s="11"/>
      <c r="AGR8" s="11"/>
      <c r="AGS8" s="11"/>
      <c r="AGT8" s="11"/>
      <c r="AGU8" s="11"/>
      <c r="AGV8" s="11"/>
      <c r="AGW8" s="11"/>
      <c r="AGX8" s="11"/>
      <c r="AGY8" s="11"/>
      <c r="AGZ8" s="11"/>
      <c r="AHA8" s="11"/>
      <c r="AHB8" s="11"/>
      <c r="AHC8" s="11"/>
      <c r="AHD8" s="11"/>
      <c r="AHE8" s="11"/>
      <c r="AHF8" s="11"/>
      <c r="AHG8" s="11"/>
      <c r="AHH8" s="11"/>
      <c r="AHI8" s="11"/>
      <c r="AHJ8" s="11"/>
      <c r="AHK8" s="11"/>
      <c r="AHL8" s="11"/>
      <c r="AHM8" s="11"/>
      <c r="AHN8" s="11"/>
      <c r="AHO8" s="11"/>
      <c r="AHP8" s="11"/>
      <c r="AHQ8" s="11"/>
      <c r="AHR8" s="11"/>
      <c r="AHS8" s="11"/>
      <c r="AHT8" s="11"/>
      <c r="AHU8" s="11"/>
      <c r="AHV8" s="11"/>
      <c r="AHW8" s="11"/>
      <c r="AHX8" s="11"/>
      <c r="AHY8" s="11"/>
      <c r="AHZ8" s="11"/>
      <c r="AIA8" s="11"/>
      <c r="AIB8" s="11"/>
      <c r="AIC8" s="11"/>
      <c r="AID8" s="11"/>
      <c r="AIE8" s="11"/>
      <c r="AIF8" s="11"/>
      <c r="AIG8" s="11"/>
      <c r="AIH8" s="11"/>
      <c r="AII8" s="11"/>
      <c r="AIJ8" s="11"/>
      <c r="AIK8" s="11"/>
      <c r="AIL8" s="11"/>
      <c r="AIM8" s="11"/>
      <c r="AIN8" s="11"/>
      <c r="AIO8" s="11"/>
      <c r="AIP8" s="11"/>
      <c r="AIQ8" s="11"/>
      <c r="AIR8" s="11"/>
      <c r="AIS8" s="11"/>
      <c r="AIT8" s="11"/>
      <c r="AIU8" s="11"/>
      <c r="AIV8" s="11"/>
      <c r="AIW8" s="11"/>
      <c r="AIX8" s="11"/>
      <c r="AIY8" s="11"/>
      <c r="AIZ8" s="11"/>
      <c r="AJA8" s="11"/>
      <c r="AJB8" s="11"/>
      <c r="AJC8" s="11"/>
      <c r="AJD8" s="11"/>
      <c r="AJE8" s="11"/>
      <c r="AJF8" s="11"/>
      <c r="AJG8" s="11"/>
      <c r="AJH8" s="11"/>
      <c r="AJI8" s="11"/>
      <c r="AJJ8" s="11"/>
      <c r="AJK8" s="11"/>
      <c r="AJL8" s="11"/>
      <c r="AJM8" s="11"/>
      <c r="AJN8" s="11"/>
      <c r="AJO8" s="11"/>
      <c r="AJP8" s="11"/>
      <c r="AJQ8" s="11"/>
      <c r="AJR8" s="11"/>
      <c r="AJS8" s="11"/>
      <c r="AJT8" s="11"/>
      <c r="AJU8" s="11"/>
      <c r="AJV8" s="11"/>
      <c r="AJW8" s="11"/>
      <c r="AJX8" s="11"/>
      <c r="AJY8" s="11"/>
      <c r="AJZ8" s="11"/>
      <c r="AKA8" s="11"/>
      <c r="AKB8" s="11"/>
      <c r="AKC8" s="11"/>
      <c r="AKD8" s="11"/>
      <c r="AKE8" s="11"/>
      <c r="AKF8" s="11"/>
      <c r="AKG8" s="11"/>
      <c r="AKH8" s="11"/>
      <c r="AKI8" s="11"/>
      <c r="AKJ8" s="11"/>
      <c r="AKK8" s="11"/>
      <c r="AKL8" s="11"/>
      <c r="AKM8" s="11"/>
      <c r="AKN8" s="11"/>
      <c r="AKO8" s="11"/>
      <c r="AKP8" s="11"/>
      <c r="AKQ8" s="11"/>
      <c r="AKR8" s="11"/>
      <c r="AKS8" s="11"/>
      <c r="AKT8" s="11"/>
      <c r="AKU8" s="11"/>
      <c r="AKV8" s="11"/>
      <c r="AKW8" s="11"/>
      <c r="AKX8" s="11"/>
      <c r="AKY8" s="11"/>
      <c r="AKZ8" s="11"/>
      <c r="ALA8" s="11"/>
      <c r="ALB8" s="11"/>
      <c r="ALC8" s="11"/>
      <c r="ALD8" s="11"/>
      <c r="ALE8" s="11"/>
      <c r="ALF8" s="11"/>
      <c r="ALG8" s="11"/>
      <c r="ALH8" s="11"/>
      <c r="ALI8" s="11"/>
      <c r="ALJ8" s="11"/>
      <c r="ALK8" s="11"/>
      <c r="ALL8" s="11"/>
      <c r="ALM8" s="11"/>
      <c r="ALN8" s="11"/>
      <c r="ALO8" s="11"/>
      <c r="ALP8" s="11"/>
      <c r="ALQ8" s="11"/>
      <c r="ALR8" s="11"/>
      <c r="ALS8" s="11"/>
      <c r="ALT8" s="11"/>
      <c r="ALU8" s="11"/>
      <c r="ALV8" s="11"/>
      <c r="ALW8" s="11"/>
      <c r="ALX8" s="11"/>
      <c r="ALY8" s="11"/>
      <c r="ALZ8" s="11"/>
      <c r="AMA8" s="11"/>
      <c r="AMB8" s="11"/>
      <c r="AMC8" s="11"/>
      <c r="AMD8" s="11"/>
      <c r="AME8" s="11"/>
      <c r="AMF8" s="11"/>
      <c r="AMG8" s="11"/>
      <c r="AMH8" s="11"/>
      <c r="AMI8" s="11"/>
      <c r="AMJ8" s="11"/>
      <c r="AMK8" s="11"/>
      <c r="AML8" s="11"/>
      <c r="AMM8" s="11"/>
      <c r="AMN8" s="11"/>
      <c r="AMO8" s="11"/>
      <c r="AMP8" s="11"/>
      <c r="AMQ8" s="11"/>
      <c r="AMR8" s="11"/>
      <c r="AMS8" s="11"/>
      <c r="AMT8" s="11"/>
      <c r="AMU8" s="11"/>
      <c r="AMV8" s="11"/>
      <c r="AMW8" s="11"/>
      <c r="AMX8" s="11"/>
      <c r="AMY8" s="11"/>
      <c r="AMZ8" s="11"/>
      <c r="ANA8" s="11"/>
      <c r="ANB8" s="11"/>
      <c r="ANC8" s="11"/>
      <c r="AND8" s="11"/>
      <c r="ANE8" s="11"/>
      <c r="ANF8" s="11"/>
      <c r="ANG8" s="11"/>
      <c r="ANH8" s="11"/>
      <c r="ANI8" s="11"/>
      <c r="ANJ8" s="11"/>
      <c r="ANK8" s="11"/>
      <c r="ANL8" s="11"/>
      <c r="ANM8" s="11"/>
      <c r="ANN8" s="11"/>
      <c r="ANO8" s="11"/>
      <c r="ANP8" s="11"/>
      <c r="ANQ8" s="11"/>
      <c r="ANR8" s="11"/>
      <c r="ANS8" s="11"/>
      <c r="ANT8" s="11"/>
      <c r="ANU8" s="11"/>
      <c r="ANV8" s="11"/>
      <c r="ANW8" s="11"/>
      <c r="ANX8" s="11"/>
      <c r="ANY8" s="11"/>
      <c r="ANZ8" s="11"/>
      <c r="AOA8" s="11"/>
      <c r="AOB8" s="11"/>
      <c r="AOC8" s="11"/>
      <c r="AOD8" s="11"/>
      <c r="AOE8" s="11"/>
      <c r="AOF8" s="11"/>
      <c r="AOG8" s="11"/>
      <c r="AOH8" s="11"/>
      <c r="AOI8" s="11"/>
      <c r="AOJ8" s="11"/>
      <c r="AOK8" s="11"/>
      <c r="AOL8" s="11"/>
      <c r="AOM8" s="11"/>
      <c r="AON8" s="11"/>
      <c r="AOO8" s="11"/>
      <c r="AOP8" s="11"/>
      <c r="AOQ8" s="11"/>
      <c r="AOR8" s="11"/>
      <c r="AOS8" s="11"/>
      <c r="AOT8" s="11"/>
      <c r="AOU8" s="11"/>
      <c r="AOV8" s="11"/>
      <c r="AOW8" s="11"/>
      <c r="AOX8" s="11"/>
      <c r="AOY8" s="11"/>
      <c r="AOZ8" s="11"/>
      <c r="APA8" s="11"/>
      <c r="APB8" s="11"/>
      <c r="APC8" s="11"/>
      <c r="APD8" s="11"/>
      <c r="APE8" s="11"/>
      <c r="APF8" s="11"/>
      <c r="APG8" s="11"/>
      <c r="APH8" s="11"/>
      <c r="API8" s="11"/>
      <c r="APJ8" s="11"/>
      <c r="APK8" s="11"/>
      <c r="APL8" s="11"/>
      <c r="APM8" s="11"/>
      <c r="APN8" s="11"/>
      <c r="APO8" s="11"/>
      <c r="APP8" s="11"/>
      <c r="APQ8" s="11"/>
      <c r="APR8" s="11"/>
      <c r="APS8" s="11"/>
      <c r="APT8" s="11"/>
      <c r="APU8" s="11"/>
      <c r="APV8" s="11"/>
      <c r="APW8" s="11"/>
      <c r="APX8" s="11"/>
      <c r="APY8" s="11"/>
      <c r="APZ8" s="11"/>
      <c r="AQA8" s="11"/>
      <c r="AQB8" s="11"/>
      <c r="AQC8" s="11"/>
      <c r="AQD8" s="11"/>
      <c r="AQE8" s="11"/>
      <c r="AQF8" s="11"/>
      <c r="AQG8" s="11"/>
      <c r="AQH8" s="11"/>
      <c r="AQI8" s="11"/>
      <c r="AQJ8" s="11"/>
      <c r="AQK8" s="11"/>
      <c r="AQL8" s="11"/>
      <c r="AQM8" s="11"/>
      <c r="AQN8" s="11"/>
      <c r="AQO8" s="11"/>
      <c r="AQP8" s="11"/>
      <c r="AQQ8" s="11"/>
      <c r="AQR8" s="11"/>
      <c r="AQS8" s="11"/>
      <c r="AQT8" s="11"/>
      <c r="AQU8" s="11"/>
      <c r="AQV8" s="11"/>
      <c r="AQW8" s="11"/>
      <c r="AQX8" s="11"/>
      <c r="AQY8" s="11"/>
      <c r="AQZ8" s="11"/>
      <c r="ARA8" s="11"/>
      <c r="ARB8" s="11"/>
      <c r="ARC8" s="11"/>
      <c r="ARD8" s="11"/>
      <c r="ARE8" s="11"/>
      <c r="ARF8" s="11"/>
      <c r="ARG8" s="11"/>
      <c r="ARH8" s="11"/>
      <c r="ARI8" s="11"/>
      <c r="ARJ8" s="11"/>
      <c r="ARK8" s="11"/>
      <c r="ARL8" s="11"/>
      <c r="ARM8" s="11"/>
      <c r="ARN8" s="11"/>
      <c r="ARO8" s="11"/>
      <c r="ARP8" s="11"/>
      <c r="ARQ8" s="11"/>
      <c r="ARR8" s="11"/>
      <c r="ARS8" s="11"/>
      <c r="ART8" s="11"/>
      <c r="ARU8" s="11"/>
      <c r="ARV8" s="11"/>
      <c r="ARW8" s="11"/>
      <c r="ARX8" s="11"/>
      <c r="ARY8" s="11"/>
      <c r="ARZ8" s="11"/>
      <c r="ASA8" s="11"/>
      <c r="ASB8" s="11"/>
      <c r="ASC8" s="11"/>
      <c r="ASD8" s="11"/>
      <c r="ASE8" s="11"/>
      <c r="ASF8" s="11"/>
      <c r="ASG8" s="11"/>
      <c r="ASH8" s="11"/>
      <c r="ASI8" s="11"/>
      <c r="ASJ8" s="11"/>
      <c r="ASK8" s="11"/>
      <c r="ASL8" s="11"/>
      <c r="ASM8" s="11"/>
      <c r="ASN8" s="11"/>
      <c r="ASO8" s="11"/>
      <c r="ASP8" s="11"/>
      <c r="ASQ8" s="11"/>
      <c r="ASR8" s="11"/>
      <c r="ASS8" s="11"/>
      <c r="AST8" s="11"/>
      <c r="ASU8" s="11"/>
      <c r="ASV8" s="11"/>
      <c r="ASW8" s="11"/>
      <c r="ASX8" s="11"/>
      <c r="ASY8" s="11"/>
      <c r="ASZ8" s="11"/>
      <c r="ATA8" s="11"/>
      <c r="ATB8" s="11"/>
      <c r="ATC8" s="11"/>
      <c r="ATD8" s="11"/>
      <c r="ATE8" s="11"/>
      <c r="ATF8" s="11"/>
      <c r="ATG8" s="11"/>
      <c r="ATH8" s="11"/>
      <c r="ATI8" s="11"/>
      <c r="ATJ8" s="11"/>
      <c r="ATK8" s="11"/>
      <c r="ATL8" s="11"/>
      <c r="ATM8" s="11"/>
      <c r="ATN8" s="11"/>
      <c r="ATO8" s="11"/>
      <c r="ATP8" s="11"/>
      <c r="ATQ8" s="11"/>
      <c r="ATR8" s="11"/>
      <c r="ATS8" s="11"/>
      <c r="ATT8" s="11"/>
      <c r="ATU8" s="11"/>
      <c r="ATV8" s="11"/>
      <c r="ATW8" s="11"/>
      <c r="ATX8" s="11"/>
      <c r="ATY8" s="11"/>
      <c r="ATZ8" s="11"/>
      <c r="AUA8" s="11"/>
      <c r="AUB8" s="11"/>
      <c r="AUC8" s="11"/>
      <c r="AUD8" s="11"/>
      <c r="AUE8" s="11"/>
      <c r="AUF8" s="11"/>
      <c r="AUG8" s="11"/>
      <c r="AUH8" s="11"/>
      <c r="AUI8" s="11"/>
      <c r="AUJ8" s="11"/>
      <c r="AUK8" s="11"/>
      <c r="AUL8" s="11"/>
      <c r="AUM8" s="11"/>
      <c r="AUN8" s="11"/>
      <c r="AUO8" s="11"/>
      <c r="AUP8" s="11"/>
      <c r="AUQ8" s="11"/>
      <c r="AUR8" s="11"/>
      <c r="AUS8" s="11"/>
      <c r="AUT8" s="11"/>
      <c r="AUU8" s="11"/>
      <c r="AUV8" s="11"/>
      <c r="AUW8" s="11"/>
      <c r="AUX8" s="11"/>
      <c r="AUY8" s="11"/>
      <c r="AUZ8" s="11"/>
      <c r="AVA8" s="11"/>
      <c r="AVB8" s="11"/>
      <c r="AVC8" s="11"/>
      <c r="AVD8" s="11"/>
      <c r="AVE8" s="11"/>
      <c r="AVF8" s="11"/>
      <c r="AVG8" s="11"/>
      <c r="AVH8" s="11"/>
      <c r="AVI8" s="11"/>
      <c r="AVJ8" s="11"/>
      <c r="AVK8" s="11"/>
      <c r="AVL8" s="11"/>
      <c r="AVM8" s="11"/>
      <c r="AVN8" s="11"/>
      <c r="AVO8" s="11"/>
      <c r="AVP8" s="11"/>
      <c r="AVQ8" s="11"/>
      <c r="AVR8" s="11"/>
      <c r="AVS8" s="11"/>
      <c r="AVT8" s="11"/>
      <c r="AVU8" s="11"/>
      <c r="AVV8" s="11"/>
      <c r="AVW8" s="11"/>
      <c r="AVX8" s="11"/>
      <c r="AVY8" s="11"/>
      <c r="AVZ8" s="11"/>
      <c r="AWA8" s="11"/>
      <c r="AWB8" s="11"/>
      <c r="AWC8" s="11"/>
      <c r="AWD8" s="11"/>
      <c r="AWE8" s="11"/>
      <c r="AWF8" s="11"/>
      <c r="AWG8" s="11"/>
      <c r="AWH8" s="11"/>
      <c r="AWI8" s="11"/>
      <c r="AWJ8" s="11"/>
      <c r="AWK8" s="11"/>
      <c r="AWL8" s="11"/>
      <c r="AWM8" s="11"/>
      <c r="AWN8" s="11"/>
      <c r="AWO8" s="11"/>
      <c r="AWP8" s="11"/>
      <c r="AWQ8" s="11"/>
      <c r="AWR8" s="11"/>
      <c r="AWS8" s="11"/>
      <c r="AWT8" s="11"/>
      <c r="AWU8" s="11"/>
      <c r="AWV8" s="11"/>
      <c r="AWW8" s="11"/>
      <c r="AWX8" s="11"/>
      <c r="AWY8" s="11"/>
      <c r="AWZ8" s="11"/>
      <c r="AXA8" s="11"/>
      <c r="AXB8" s="11"/>
      <c r="AXC8" s="11"/>
      <c r="AXD8" s="11"/>
      <c r="AXE8" s="11"/>
      <c r="AXF8" s="11"/>
      <c r="AXG8" s="11"/>
      <c r="AXH8" s="11"/>
      <c r="AXI8" s="11"/>
      <c r="AXJ8" s="11"/>
      <c r="AXK8" s="11"/>
      <c r="AXL8" s="11"/>
      <c r="AXM8" s="11"/>
      <c r="AXN8" s="11"/>
      <c r="AXO8" s="11"/>
      <c r="AXP8" s="11"/>
      <c r="AXQ8" s="11"/>
      <c r="AXR8" s="11"/>
      <c r="AXS8" s="11"/>
      <c r="AXT8" s="11"/>
      <c r="AXU8" s="11"/>
      <c r="AXV8" s="11"/>
      <c r="AXW8" s="11"/>
      <c r="AXX8" s="11"/>
      <c r="AXY8" s="11"/>
      <c r="AXZ8" s="11"/>
      <c r="AYA8" s="11"/>
      <c r="AYB8" s="11"/>
      <c r="AYC8" s="11"/>
      <c r="AYD8" s="11"/>
      <c r="AYE8" s="11"/>
      <c r="AYF8" s="11"/>
      <c r="AYG8" s="11"/>
      <c r="AYH8" s="11"/>
      <c r="AYI8" s="11"/>
      <c r="AYJ8" s="11"/>
      <c r="AYK8" s="11"/>
      <c r="AYL8" s="11"/>
      <c r="AYM8" s="11"/>
      <c r="AYN8" s="11"/>
      <c r="AYO8" s="11"/>
      <c r="AYP8" s="11"/>
      <c r="AYQ8" s="11"/>
      <c r="AYR8" s="11"/>
      <c r="AYS8" s="11"/>
      <c r="AYT8" s="11"/>
      <c r="AYU8" s="11"/>
      <c r="AYV8" s="11"/>
      <c r="AYW8" s="11"/>
      <c r="AYX8" s="11"/>
      <c r="AYY8" s="11"/>
      <c r="AYZ8" s="11"/>
      <c r="AZA8" s="11"/>
      <c r="AZB8" s="11"/>
      <c r="AZC8" s="11"/>
      <c r="AZD8" s="11"/>
      <c r="AZE8" s="11"/>
      <c r="AZF8" s="11"/>
      <c r="AZG8" s="11"/>
      <c r="AZH8" s="11"/>
      <c r="AZI8" s="11"/>
      <c r="AZJ8" s="11"/>
      <c r="AZK8" s="11"/>
      <c r="AZL8" s="11"/>
      <c r="AZM8" s="11"/>
      <c r="AZN8" s="11"/>
      <c r="AZO8" s="11"/>
      <c r="AZP8" s="11"/>
      <c r="AZQ8" s="11"/>
      <c r="AZR8" s="11"/>
      <c r="AZS8" s="11"/>
      <c r="AZT8" s="11"/>
      <c r="AZU8" s="11"/>
      <c r="AZV8" s="11"/>
      <c r="AZW8" s="11"/>
      <c r="AZX8" s="11"/>
      <c r="AZY8" s="11"/>
      <c r="AZZ8" s="11"/>
      <c r="BAA8" s="11"/>
      <c r="BAB8" s="11"/>
      <c r="BAC8" s="11"/>
      <c r="BAD8" s="11"/>
      <c r="BAE8" s="11"/>
      <c r="BAF8" s="11"/>
      <c r="BAG8" s="11"/>
      <c r="BAH8" s="11"/>
      <c r="BAI8" s="11"/>
      <c r="BAJ8" s="11"/>
      <c r="BAK8" s="11"/>
      <c r="BAL8" s="11"/>
      <c r="BAM8" s="11"/>
      <c r="BAN8" s="11"/>
      <c r="BAO8" s="11"/>
      <c r="BAP8" s="11"/>
      <c r="BAQ8" s="11"/>
      <c r="BAR8" s="11"/>
      <c r="BAS8" s="11"/>
      <c r="BAT8" s="11"/>
      <c r="BAU8" s="11"/>
      <c r="BAV8" s="11"/>
      <c r="BAW8" s="11"/>
      <c r="BAX8" s="11"/>
      <c r="BAY8" s="11"/>
      <c r="BAZ8" s="11"/>
      <c r="BBA8" s="11"/>
      <c r="BBB8" s="11"/>
      <c r="BBC8" s="11"/>
      <c r="BBD8" s="11"/>
      <c r="BBE8" s="11"/>
      <c r="BBF8" s="11"/>
      <c r="BBG8" s="11"/>
      <c r="BBH8" s="11"/>
      <c r="BBI8" s="11"/>
      <c r="BBJ8" s="11"/>
      <c r="BBK8" s="11"/>
      <c r="BBL8" s="11"/>
      <c r="BBM8" s="11"/>
      <c r="BBN8" s="11"/>
      <c r="BBO8" s="11"/>
      <c r="BBP8" s="11"/>
      <c r="BBQ8" s="11"/>
      <c r="BBR8" s="11"/>
      <c r="BBS8" s="11"/>
      <c r="BBT8" s="11"/>
      <c r="BBU8" s="11"/>
      <c r="BBV8" s="11"/>
      <c r="BBW8" s="11"/>
      <c r="BBX8" s="11"/>
      <c r="BBY8" s="11"/>
      <c r="BBZ8" s="11"/>
      <c r="BCA8" s="11"/>
      <c r="BCB8" s="11"/>
      <c r="BCC8" s="11"/>
      <c r="BCD8" s="11"/>
      <c r="BCE8" s="11"/>
      <c r="BCF8" s="11"/>
      <c r="BCG8" s="11"/>
      <c r="BCH8" s="11"/>
      <c r="BCI8" s="11"/>
      <c r="BCJ8" s="11"/>
      <c r="BCK8" s="11"/>
      <c r="BCL8" s="11"/>
      <c r="BCM8" s="11"/>
      <c r="BCN8" s="11"/>
      <c r="BCO8" s="11"/>
      <c r="BCP8" s="11"/>
      <c r="BCQ8" s="11"/>
      <c r="BCR8" s="11"/>
      <c r="BCS8" s="11"/>
      <c r="BCT8" s="11"/>
      <c r="BCU8" s="11"/>
      <c r="BCV8" s="11"/>
      <c r="BCW8" s="11"/>
      <c r="BCX8" s="11"/>
      <c r="BCY8" s="11"/>
      <c r="BCZ8" s="11"/>
      <c r="BDA8" s="11"/>
      <c r="BDB8" s="11"/>
      <c r="BDC8" s="11"/>
      <c r="BDD8" s="11"/>
      <c r="BDE8" s="11"/>
      <c r="BDF8" s="11"/>
      <c r="BDG8" s="11"/>
      <c r="BDH8" s="11"/>
      <c r="BDI8" s="11"/>
      <c r="BDJ8" s="11"/>
      <c r="BDK8" s="11"/>
      <c r="BDL8" s="11"/>
      <c r="BDM8" s="11"/>
      <c r="BDN8" s="11"/>
      <c r="BDO8" s="11"/>
      <c r="BDP8" s="11"/>
      <c r="BDQ8" s="11"/>
      <c r="BDR8" s="11"/>
      <c r="BDS8" s="11"/>
      <c r="BDT8" s="11"/>
      <c r="BDU8" s="11"/>
      <c r="BDV8" s="11"/>
      <c r="BDW8" s="11"/>
      <c r="BDX8" s="11"/>
      <c r="BDY8" s="11"/>
      <c r="BDZ8" s="11"/>
      <c r="BEA8" s="11"/>
      <c r="BEB8" s="11"/>
      <c r="BEC8" s="11"/>
      <c r="BED8" s="11"/>
      <c r="BEE8" s="11"/>
      <c r="BEF8" s="11"/>
      <c r="BEG8" s="11"/>
      <c r="BEH8" s="11"/>
      <c r="BEI8" s="11"/>
      <c r="BEJ8" s="11"/>
      <c r="BEK8" s="11"/>
      <c r="BEL8" s="11"/>
      <c r="BEM8" s="11"/>
      <c r="BEN8" s="11"/>
      <c r="BEO8" s="11"/>
      <c r="BEP8" s="11"/>
      <c r="BEQ8" s="11"/>
      <c r="BER8" s="11"/>
      <c r="BES8" s="11"/>
      <c r="BET8" s="11"/>
      <c r="BEU8" s="11"/>
      <c r="BEV8" s="11"/>
      <c r="BEW8" s="11"/>
      <c r="BEX8" s="11"/>
      <c r="BEY8" s="11"/>
      <c r="BEZ8" s="11"/>
      <c r="BFA8" s="11"/>
      <c r="BFB8" s="11"/>
      <c r="BFC8" s="11"/>
      <c r="BFD8" s="11"/>
      <c r="BFE8" s="11"/>
      <c r="BFF8" s="11"/>
      <c r="BFG8" s="11"/>
      <c r="BFH8" s="11"/>
      <c r="BFI8" s="11"/>
      <c r="BFJ8" s="11"/>
      <c r="BFK8" s="11"/>
      <c r="BFL8" s="11"/>
      <c r="BFM8" s="11"/>
      <c r="BFN8" s="11"/>
      <c r="BFO8" s="11"/>
      <c r="BFP8" s="11"/>
      <c r="BFQ8" s="11"/>
      <c r="BFR8" s="11"/>
      <c r="BFS8" s="11"/>
      <c r="BFT8" s="11"/>
      <c r="BFU8" s="11"/>
      <c r="BFV8" s="11"/>
      <c r="BFW8" s="11"/>
      <c r="BFX8" s="11"/>
      <c r="BFY8" s="11"/>
      <c r="BFZ8" s="11"/>
      <c r="BGA8" s="11"/>
      <c r="BGB8" s="11"/>
      <c r="BGC8" s="11"/>
      <c r="BGD8" s="11"/>
      <c r="BGE8" s="11"/>
      <c r="BGF8" s="11"/>
      <c r="BGG8" s="11"/>
      <c r="BGH8" s="11"/>
      <c r="BGI8" s="11"/>
      <c r="BGJ8" s="11"/>
      <c r="BGK8" s="11"/>
      <c r="BGL8" s="11"/>
      <c r="BGM8" s="11"/>
      <c r="BGN8" s="11"/>
      <c r="BGO8" s="11"/>
      <c r="BGP8" s="11"/>
      <c r="BGQ8" s="11"/>
      <c r="BGR8" s="11"/>
      <c r="BGS8" s="11"/>
      <c r="BGT8" s="11"/>
      <c r="BGU8" s="11"/>
      <c r="BGV8" s="11"/>
      <c r="BGW8" s="11"/>
      <c r="BGX8" s="11"/>
      <c r="BGY8" s="11"/>
      <c r="BGZ8" s="11"/>
      <c r="BHA8" s="11"/>
      <c r="BHB8" s="11"/>
      <c r="BHC8" s="11"/>
      <c r="BHD8" s="11"/>
      <c r="BHE8" s="11"/>
      <c r="BHF8" s="11"/>
      <c r="BHG8" s="11"/>
      <c r="BHH8" s="11"/>
      <c r="BHI8" s="11"/>
      <c r="BHJ8" s="11"/>
      <c r="BHK8" s="11"/>
      <c r="BHL8" s="11"/>
      <c r="BHM8" s="11"/>
      <c r="BHN8" s="11"/>
      <c r="BHO8" s="11"/>
      <c r="BHP8" s="11"/>
      <c r="BHQ8" s="11"/>
      <c r="BHR8" s="11"/>
      <c r="BHS8" s="11"/>
      <c r="BHT8" s="11"/>
      <c r="BHU8" s="11"/>
      <c r="BHV8" s="11"/>
      <c r="BHW8" s="11"/>
      <c r="BHX8" s="11"/>
      <c r="BHY8" s="11"/>
      <c r="BHZ8" s="11"/>
      <c r="BIA8" s="11"/>
      <c r="BIB8" s="11"/>
      <c r="BIC8" s="11"/>
      <c r="BID8" s="11"/>
      <c r="BIE8" s="11"/>
      <c r="BIF8" s="11"/>
      <c r="BIG8" s="11"/>
      <c r="BIH8" s="11"/>
      <c r="BII8" s="11"/>
      <c r="BIJ8" s="11"/>
      <c r="BIK8" s="11"/>
      <c r="BIL8" s="11"/>
      <c r="BIM8" s="11"/>
      <c r="BIN8" s="11"/>
      <c r="BIO8" s="11"/>
      <c r="BIP8" s="11"/>
      <c r="BIQ8" s="11"/>
      <c r="BIR8" s="11"/>
      <c r="BIS8" s="11"/>
      <c r="BIT8" s="11"/>
      <c r="BIU8" s="11"/>
      <c r="BIV8" s="11"/>
      <c r="BIW8" s="11"/>
      <c r="BIX8" s="11"/>
      <c r="BIY8" s="11"/>
      <c r="BIZ8" s="11"/>
      <c r="BJA8" s="11"/>
      <c r="BJB8" s="11"/>
      <c r="BJC8" s="11"/>
      <c r="BJD8" s="11"/>
      <c r="BJE8" s="11"/>
      <c r="BJF8" s="11"/>
      <c r="BJG8" s="11"/>
      <c r="BJH8" s="11"/>
      <c r="BJI8" s="11"/>
      <c r="BJJ8" s="11"/>
      <c r="BJK8" s="11"/>
      <c r="BJL8" s="11"/>
      <c r="BJM8" s="11"/>
      <c r="BJN8" s="11"/>
      <c r="BJO8" s="11"/>
      <c r="BJP8" s="11"/>
      <c r="BJQ8" s="11"/>
      <c r="BJR8" s="11"/>
      <c r="BJS8" s="11"/>
      <c r="BJT8" s="11"/>
      <c r="BJU8" s="11"/>
      <c r="BJV8" s="11"/>
      <c r="BJW8" s="11"/>
      <c r="BJX8" s="11"/>
      <c r="BJY8" s="11"/>
      <c r="BJZ8" s="11"/>
      <c r="BKA8" s="11"/>
      <c r="BKB8" s="11"/>
      <c r="BKC8" s="11"/>
      <c r="BKD8" s="11"/>
      <c r="BKE8" s="11"/>
      <c r="BKF8" s="11"/>
      <c r="BKG8" s="11"/>
      <c r="BKH8" s="11"/>
      <c r="BKI8" s="11"/>
      <c r="BKJ8" s="11"/>
      <c r="BKK8" s="11"/>
      <c r="BKL8" s="11"/>
      <c r="BKM8" s="11"/>
      <c r="BKN8" s="11"/>
      <c r="BKO8" s="11"/>
      <c r="BKP8" s="11"/>
      <c r="BKQ8" s="11"/>
      <c r="BKR8" s="11"/>
      <c r="BKS8" s="11"/>
      <c r="BKT8" s="11"/>
      <c r="BKU8" s="11"/>
      <c r="BKV8" s="11"/>
      <c r="BKW8" s="11"/>
      <c r="BKX8" s="11"/>
      <c r="BKY8" s="11"/>
      <c r="BKZ8" s="11"/>
      <c r="BLA8" s="11"/>
      <c r="BLB8" s="11"/>
      <c r="BLC8" s="11"/>
      <c r="BLD8" s="11"/>
      <c r="BLE8" s="11"/>
      <c r="BLF8" s="11"/>
      <c r="BLG8" s="11"/>
      <c r="BLH8" s="11"/>
      <c r="BLI8" s="11"/>
      <c r="BLJ8" s="11"/>
      <c r="BLK8" s="11"/>
      <c r="BLL8" s="11"/>
      <c r="BLM8" s="11"/>
      <c r="BLN8" s="11"/>
      <c r="BLO8" s="11"/>
      <c r="BLP8" s="11"/>
      <c r="BLQ8" s="11"/>
      <c r="BLR8" s="11"/>
      <c r="BLS8" s="11"/>
      <c r="BLT8" s="11"/>
      <c r="BLU8" s="11"/>
      <c r="BLV8" s="11"/>
      <c r="BLW8" s="11"/>
      <c r="BLX8" s="11"/>
      <c r="BLY8" s="11"/>
      <c r="BLZ8" s="11"/>
      <c r="BMA8" s="11"/>
      <c r="BMB8" s="11"/>
      <c r="BMC8" s="11"/>
      <c r="BMD8" s="11"/>
      <c r="BME8" s="11"/>
      <c r="BMF8" s="11"/>
      <c r="BMG8" s="11"/>
      <c r="BMH8" s="11"/>
      <c r="BMI8" s="11"/>
      <c r="BMJ8" s="11"/>
      <c r="BMK8" s="11"/>
      <c r="BML8" s="11"/>
      <c r="BMM8" s="11"/>
      <c r="BMN8" s="11"/>
      <c r="BMO8" s="11"/>
      <c r="BMP8" s="11"/>
      <c r="BMQ8" s="11"/>
      <c r="BMR8" s="11"/>
      <c r="BMS8" s="11"/>
      <c r="BMT8" s="11"/>
      <c r="BMU8" s="11"/>
      <c r="BMV8" s="11"/>
      <c r="BMW8" s="11"/>
      <c r="BMX8" s="11"/>
      <c r="BMY8" s="11"/>
      <c r="BMZ8" s="11"/>
      <c r="BNA8" s="11"/>
      <c r="BNB8" s="11"/>
      <c r="BNC8" s="11"/>
      <c r="BND8" s="11"/>
      <c r="BNE8" s="11"/>
      <c r="BNF8" s="11"/>
      <c r="BNG8" s="11"/>
      <c r="BNH8" s="11"/>
      <c r="BNI8" s="11"/>
      <c r="BNJ8" s="11"/>
      <c r="BNK8" s="11"/>
      <c r="BNL8" s="11"/>
      <c r="BNM8" s="11"/>
      <c r="BNN8" s="11"/>
      <c r="BNO8" s="11"/>
      <c r="BNP8" s="11"/>
      <c r="BNQ8" s="11"/>
      <c r="BNR8" s="11"/>
      <c r="BNS8" s="11"/>
      <c r="BNT8" s="11"/>
      <c r="BNU8" s="11"/>
      <c r="BNV8" s="11"/>
      <c r="BNW8" s="11"/>
      <c r="BNX8" s="11"/>
      <c r="BNY8" s="11"/>
      <c r="BNZ8" s="11"/>
      <c r="BOA8" s="11"/>
      <c r="BOB8" s="11"/>
      <c r="BOC8" s="11"/>
      <c r="BOD8" s="11"/>
      <c r="BOE8" s="11"/>
      <c r="BOF8" s="11"/>
      <c r="BOG8" s="11"/>
      <c r="BOH8" s="11"/>
      <c r="BOI8" s="11"/>
      <c r="BOJ8" s="11"/>
      <c r="BOK8" s="11"/>
      <c r="BOL8" s="11"/>
      <c r="BOM8" s="11"/>
      <c r="BON8" s="11"/>
      <c r="BOO8" s="11"/>
      <c r="BOP8" s="11"/>
      <c r="BOQ8" s="11"/>
      <c r="BOR8" s="11"/>
      <c r="BOS8" s="11"/>
      <c r="BOT8" s="11"/>
      <c r="BOU8" s="11"/>
      <c r="BOV8" s="11"/>
      <c r="BOW8" s="11"/>
      <c r="BOX8" s="11"/>
      <c r="BOY8" s="11"/>
      <c r="BOZ8" s="11"/>
      <c r="BPA8" s="11"/>
      <c r="BPB8" s="11"/>
      <c r="BPC8" s="11"/>
      <c r="BPD8" s="11"/>
      <c r="BPE8" s="11"/>
      <c r="BPF8" s="11"/>
      <c r="BPG8" s="11"/>
      <c r="BPH8" s="11"/>
      <c r="BPI8" s="11"/>
      <c r="BPJ8" s="11"/>
      <c r="BPK8" s="11"/>
      <c r="BPL8" s="11"/>
      <c r="BPM8" s="11"/>
      <c r="BPN8" s="11"/>
      <c r="BPO8" s="11"/>
      <c r="BPP8" s="11"/>
      <c r="BPQ8" s="11"/>
      <c r="BPR8" s="11"/>
      <c r="BPS8" s="11"/>
      <c r="BPT8" s="11"/>
      <c r="BPU8" s="11"/>
      <c r="BPV8" s="11"/>
      <c r="BPW8" s="11"/>
      <c r="BPX8" s="11"/>
      <c r="BPY8" s="11"/>
      <c r="BPZ8" s="11"/>
      <c r="BQA8" s="11"/>
      <c r="BQB8" s="11"/>
      <c r="BQC8" s="11"/>
      <c r="BQD8" s="11"/>
      <c r="BQE8" s="11"/>
      <c r="BQF8" s="11"/>
      <c r="BQG8" s="11"/>
      <c r="BQH8" s="11"/>
      <c r="BQI8" s="11"/>
      <c r="BQJ8" s="11"/>
      <c r="BQK8" s="11"/>
      <c r="BQL8" s="11"/>
      <c r="BQM8" s="11"/>
      <c r="BQN8" s="11"/>
      <c r="BQO8" s="11"/>
      <c r="BQP8" s="11"/>
      <c r="BQQ8" s="11"/>
      <c r="BQR8" s="11"/>
      <c r="BQS8" s="11"/>
      <c r="BQT8" s="11"/>
      <c r="BQU8" s="11"/>
      <c r="BQV8" s="11"/>
      <c r="BQW8" s="11"/>
      <c r="BQX8" s="11"/>
      <c r="BQY8" s="11"/>
      <c r="BQZ8" s="11"/>
      <c r="BRA8" s="11"/>
      <c r="BRB8" s="11"/>
      <c r="BRC8" s="11"/>
      <c r="BRD8" s="11"/>
      <c r="BRE8" s="11"/>
      <c r="BRF8" s="11"/>
      <c r="BRG8" s="11"/>
      <c r="BRH8" s="11"/>
      <c r="BRI8" s="11"/>
      <c r="BRJ8" s="11"/>
      <c r="BRK8" s="11"/>
      <c r="BRL8" s="11"/>
      <c r="BRM8" s="11"/>
      <c r="BRN8" s="11"/>
      <c r="BRO8" s="11"/>
      <c r="BRP8" s="11"/>
      <c r="BRQ8" s="11"/>
      <c r="BRR8" s="11"/>
      <c r="BRS8" s="11"/>
      <c r="BRT8" s="11"/>
      <c r="BRU8" s="11"/>
      <c r="BRV8" s="11"/>
      <c r="BRW8" s="11"/>
      <c r="BRX8" s="11"/>
      <c r="BRY8" s="11"/>
      <c r="BRZ8" s="11"/>
      <c r="BSA8" s="11"/>
      <c r="BSB8" s="11"/>
      <c r="BSC8" s="11"/>
      <c r="BSD8" s="11"/>
    </row>
    <row r="9" spans="1:1850" s="12" customFormat="1" ht="20.100000000000001" customHeight="1">
      <c r="A9" s="80" t="s">
        <v>20</v>
      </c>
      <c r="B9" s="81"/>
      <c r="C9" s="82">
        <v>41521</v>
      </c>
      <c r="D9" s="83">
        <v>41532</v>
      </c>
      <c r="E9" s="84" t="str">
        <f t="shared" si="0"/>
        <v>12 days</v>
      </c>
      <c r="F9" s="13"/>
      <c r="G9" s="14"/>
      <c r="H9" s="14"/>
      <c r="I9" s="19"/>
      <c r="J9" s="19"/>
      <c r="K9" s="19"/>
      <c r="L9" s="20"/>
      <c r="M9" s="20"/>
      <c r="N9" s="20"/>
      <c r="O9" s="20"/>
      <c r="P9" s="20"/>
      <c r="Q9" s="20"/>
      <c r="R9" s="20"/>
      <c r="S9" s="20"/>
      <c r="T9" s="20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7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  <c r="XY9" s="11"/>
      <c r="XZ9" s="11"/>
      <c r="YA9" s="11"/>
      <c r="YB9" s="11"/>
      <c r="YC9" s="11"/>
      <c r="YD9" s="11"/>
      <c r="YE9" s="11"/>
      <c r="YF9" s="11"/>
      <c r="YG9" s="11"/>
      <c r="YH9" s="11"/>
      <c r="YI9" s="11"/>
      <c r="YJ9" s="11"/>
      <c r="YK9" s="11"/>
      <c r="YL9" s="11"/>
      <c r="YM9" s="11"/>
      <c r="YN9" s="11"/>
      <c r="YO9" s="11"/>
      <c r="YP9" s="11"/>
      <c r="YQ9" s="11"/>
      <c r="YR9" s="11"/>
      <c r="YS9" s="11"/>
      <c r="YT9" s="11"/>
      <c r="YU9" s="11"/>
      <c r="YV9" s="11"/>
      <c r="YW9" s="11"/>
      <c r="YX9" s="11"/>
      <c r="YY9" s="11"/>
      <c r="YZ9" s="11"/>
      <c r="ZA9" s="11"/>
      <c r="ZB9" s="11"/>
      <c r="ZC9" s="11"/>
      <c r="ZD9" s="11"/>
      <c r="ZE9" s="11"/>
      <c r="ZF9" s="11"/>
      <c r="ZG9" s="11"/>
      <c r="ZH9" s="11"/>
      <c r="ZI9" s="11"/>
      <c r="ZJ9" s="11"/>
      <c r="ZK9" s="11"/>
      <c r="ZL9" s="11"/>
      <c r="ZM9" s="11"/>
      <c r="ZN9" s="11"/>
      <c r="ZO9" s="11"/>
      <c r="ZP9" s="11"/>
      <c r="ZQ9" s="11"/>
      <c r="ZR9" s="11"/>
      <c r="ZS9" s="11"/>
      <c r="ZT9" s="11"/>
      <c r="ZU9" s="11"/>
      <c r="ZV9" s="11"/>
      <c r="ZW9" s="11"/>
      <c r="ZX9" s="11"/>
      <c r="ZY9" s="11"/>
      <c r="ZZ9" s="11"/>
      <c r="AAA9" s="11"/>
      <c r="AAB9" s="11"/>
      <c r="AAC9" s="11"/>
      <c r="AAD9" s="11"/>
      <c r="AAE9" s="11"/>
      <c r="AAF9" s="11"/>
      <c r="AAG9" s="11"/>
      <c r="AAH9" s="11"/>
      <c r="AAI9" s="11"/>
      <c r="AAJ9" s="11"/>
      <c r="AAK9" s="11"/>
      <c r="AAL9" s="11"/>
      <c r="AAM9" s="11"/>
      <c r="AAN9" s="11"/>
      <c r="AAO9" s="11"/>
      <c r="AAP9" s="11"/>
      <c r="AAQ9" s="11"/>
      <c r="AAR9" s="11"/>
      <c r="AAS9" s="11"/>
      <c r="AAT9" s="11"/>
      <c r="AAU9" s="11"/>
      <c r="AAV9" s="11"/>
      <c r="AAW9" s="11"/>
      <c r="AAX9" s="11"/>
      <c r="AAY9" s="11"/>
      <c r="AAZ9" s="11"/>
      <c r="ABA9" s="11"/>
      <c r="ABB9" s="11"/>
      <c r="ABC9" s="11"/>
      <c r="ABD9" s="11"/>
      <c r="ABE9" s="11"/>
      <c r="ABF9" s="11"/>
      <c r="ABG9" s="11"/>
      <c r="ABH9" s="11"/>
      <c r="ABI9" s="11"/>
      <c r="ABJ9" s="11"/>
      <c r="ABK9" s="11"/>
      <c r="ABL9" s="11"/>
      <c r="ABM9" s="11"/>
      <c r="ABN9" s="11"/>
      <c r="ABO9" s="11"/>
      <c r="ABP9" s="11"/>
      <c r="ABQ9" s="11"/>
      <c r="ABR9" s="11"/>
      <c r="ABS9" s="11"/>
      <c r="ABT9" s="11"/>
      <c r="ABU9" s="11"/>
      <c r="ABV9" s="11"/>
      <c r="ABW9" s="11"/>
      <c r="ABX9" s="11"/>
      <c r="ABY9" s="11"/>
      <c r="ABZ9" s="11"/>
      <c r="ACA9" s="11"/>
      <c r="ACB9" s="11"/>
      <c r="ACC9" s="11"/>
      <c r="ACD9" s="11"/>
      <c r="ACE9" s="11"/>
      <c r="ACF9" s="11"/>
      <c r="ACG9" s="11"/>
      <c r="ACH9" s="11"/>
      <c r="ACI9" s="11"/>
      <c r="ACJ9" s="11"/>
      <c r="ACK9" s="11"/>
      <c r="ACL9" s="11"/>
      <c r="ACM9" s="11"/>
      <c r="ACN9" s="11"/>
      <c r="ACO9" s="11"/>
      <c r="ACP9" s="11"/>
      <c r="ACQ9" s="11"/>
      <c r="ACR9" s="11"/>
      <c r="ACS9" s="11"/>
      <c r="ACT9" s="11"/>
      <c r="ACU9" s="11"/>
      <c r="ACV9" s="11"/>
      <c r="ACW9" s="11"/>
      <c r="ACX9" s="11"/>
      <c r="ACY9" s="11"/>
      <c r="ACZ9" s="11"/>
      <c r="ADA9" s="11"/>
      <c r="ADB9" s="11"/>
      <c r="ADC9" s="11"/>
      <c r="ADD9" s="11"/>
      <c r="ADE9" s="11"/>
      <c r="ADF9" s="11"/>
      <c r="ADG9" s="11"/>
      <c r="ADH9" s="11"/>
      <c r="ADI9" s="11"/>
      <c r="ADJ9" s="11"/>
      <c r="ADK9" s="11"/>
      <c r="ADL9" s="11"/>
      <c r="ADM9" s="11"/>
      <c r="ADN9" s="11"/>
      <c r="ADO9" s="11"/>
      <c r="ADP9" s="11"/>
      <c r="ADQ9" s="11"/>
      <c r="ADR9" s="11"/>
      <c r="ADS9" s="11"/>
      <c r="ADT9" s="11"/>
      <c r="ADU9" s="11"/>
      <c r="ADV9" s="11"/>
      <c r="ADW9" s="11"/>
      <c r="ADX9" s="11"/>
      <c r="ADY9" s="11"/>
      <c r="ADZ9" s="11"/>
      <c r="AEA9" s="11"/>
      <c r="AEB9" s="11"/>
      <c r="AEC9" s="11"/>
      <c r="AED9" s="11"/>
      <c r="AEE9" s="11"/>
      <c r="AEF9" s="11"/>
      <c r="AEG9" s="11"/>
      <c r="AEH9" s="11"/>
      <c r="AEI9" s="11"/>
      <c r="AEJ9" s="11"/>
      <c r="AEK9" s="11"/>
      <c r="AEL9" s="11"/>
      <c r="AEM9" s="11"/>
      <c r="AEN9" s="11"/>
      <c r="AEO9" s="11"/>
      <c r="AEP9" s="11"/>
      <c r="AEQ9" s="11"/>
      <c r="AER9" s="11"/>
      <c r="AES9" s="11"/>
      <c r="AET9" s="11"/>
      <c r="AEU9" s="11"/>
      <c r="AEV9" s="11"/>
      <c r="AEW9" s="11"/>
      <c r="AEX9" s="11"/>
      <c r="AEY9" s="11"/>
      <c r="AEZ9" s="11"/>
      <c r="AFA9" s="11"/>
      <c r="AFB9" s="11"/>
      <c r="AFC9" s="11"/>
      <c r="AFD9" s="11"/>
      <c r="AFE9" s="11"/>
      <c r="AFF9" s="11"/>
      <c r="AFG9" s="11"/>
      <c r="AFH9" s="11"/>
      <c r="AFI9" s="11"/>
      <c r="AFJ9" s="11"/>
      <c r="AFK9" s="11"/>
      <c r="AFL9" s="11"/>
      <c r="AFM9" s="11"/>
      <c r="AFN9" s="11"/>
      <c r="AFO9" s="11"/>
      <c r="AFP9" s="11"/>
      <c r="AFQ9" s="11"/>
      <c r="AFR9" s="11"/>
      <c r="AFS9" s="11"/>
      <c r="AFT9" s="11"/>
      <c r="AFU9" s="11"/>
      <c r="AFV9" s="11"/>
      <c r="AFW9" s="11"/>
      <c r="AFX9" s="11"/>
      <c r="AFY9" s="11"/>
      <c r="AFZ9" s="11"/>
      <c r="AGA9" s="11"/>
      <c r="AGB9" s="11"/>
      <c r="AGC9" s="11"/>
      <c r="AGD9" s="11"/>
      <c r="AGE9" s="11"/>
      <c r="AGF9" s="11"/>
      <c r="AGG9" s="11"/>
      <c r="AGH9" s="11"/>
      <c r="AGI9" s="11"/>
      <c r="AGJ9" s="11"/>
      <c r="AGK9" s="11"/>
      <c r="AGL9" s="11"/>
      <c r="AGM9" s="11"/>
      <c r="AGN9" s="11"/>
      <c r="AGO9" s="11"/>
      <c r="AGP9" s="11"/>
      <c r="AGQ9" s="11"/>
      <c r="AGR9" s="11"/>
      <c r="AGS9" s="11"/>
      <c r="AGT9" s="11"/>
      <c r="AGU9" s="11"/>
      <c r="AGV9" s="11"/>
      <c r="AGW9" s="11"/>
      <c r="AGX9" s="11"/>
      <c r="AGY9" s="11"/>
      <c r="AGZ9" s="11"/>
      <c r="AHA9" s="11"/>
      <c r="AHB9" s="11"/>
      <c r="AHC9" s="11"/>
      <c r="AHD9" s="11"/>
      <c r="AHE9" s="11"/>
      <c r="AHF9" s="11"/>
      <c r="AHG9" s="11"/>
      <c r="AHH9" s="11"/>
      <c r="AHI9" s="11"/>
      <c r="AHJ9" s="11"/>
      <c r="AHK9" s="11"/>
      <c r="AHL9" s="11"/>
      <c r="AHM9" s="11"/>
      <c r="AHN9" s="11"/>
      <c r="AHO9" s="11"/>
      <c r="AHP9" s="11"/>
      <c r="AHQ9" s="11"/>
      <c r="AHR9" s="11"/>
      <c r="AHS9" s="11"/>
      <c r="AHT9" s="11"/>
      <c r="AHU9" s="11"/>
      <c r="AHV9" s="11"/>
      <c r="AHW9" s="11"/>
      <c r="AHX9" s="11"/>
      <c r="AHY9" s="11"/>
      <c r="AHZ9" s="11"/>
      <c r="AIA9" s="11"/>
      <c r="AIB9" s="11"/>
      <c r="AIC9" s="11"/>
      <c r="AID9" s="11"/>
      <c r="AIE9" s="11"/>
      <c r="AIF9" s="11"/>
      <c r="AIG9" s="11"/>
      <c r="AIH9" s="11"/>
      <c r="AII9" s="11"/>
      <c r="AIJ9" s="11"/>
      <c r="AIK9" s="11"/>
      <c r="AIL9" s="11"/>
      <c r="AIM9" s="11"/>
      <c r="AIN9" s="11"/>
      <c r="AIO9" s="11"/>
      <c r="AIP9" s="11"/>
      <c r="AIQ9" s="11"/>
      <c r="AIR9" s="11"/>
      <c r="AIS9" s="11"/>
      <c r="AIT9" s="11"/>
      <c r="AIU9" s="11"/>
      <c r="AIV9" s="11"/>
      <c r="AIW9" s="11"/>
      <c r="AIX9" s="11"/>
      <c r="AIY9" s="11"/>
      <c r="AIZ9" s="11"/>
      <c r="AJA9" s="11"/>
      <c r="AJB9" s="11"/>
      <c r="AJC9" s="11"/>
      <c r="AJD9" s="11"/>
      <c r="AJE9" s="11"/>
      <c r="AJF9" s="11"/>
      <c r="AJG9" s="11"/>
      <c r="AJH9" s="11"/>
      <c r="AJI9" s="11"/>
      <c r="AJJ9" s="11"/>
      <c r="AJK9" s="11"/>
      <c r="AJL9" s="11"/>
      <c r="AJM9" s="11"/>
      <c r="AJN9" s="11"/>
      <c r="AJO9" s="11"/>
      <c r="AJP9" s="11"/>
      <c r="AJQ9" s="11"/>
      <c r="AJR9" s="11"/>
      <c r="AJS9" s="11"/>
      <c r="AJT9" s="11"/>
      <c r="AJU9" s="11"/>
      <c r="AJV9" s="11"/>
      <c r="AJW9" s="11"/>
      <c r="AJX9" s="11"/>
      <c r="AJY9" s="11"/>
      <c r="AJZ9" s="11"/>
      <c r="AKA9" s="11"/>
      <c r="AKB9" s="11"/>
      <c r="AKC9" s="11"/>
      <c r="AKD9" s="11"/>
      <c r="AKE9" s="11"/>
      <c r="AKF9" s="11"/>
      <c r="AKG9" s="11"/>
      <c r="AKH9" s="11"/>
      <c r="AKI9" s="11"/>
      <c r="AKJ9" s="11"/>
      <c r="AKK9" s="11"/>
      <c r="AKL9" s="11"/>
      <c r="AKM9" s="11"/>
      <c r="AKN9" s="11"/>
      <c r="AKO9" s="11"/>
      <c r="AKP9" s="11"/>
      <c r="AKQ9" s="11"/>
      <c r="AKR9" s="11"/>
      <c r="AKS9" s="11"/>
      <c r="AKT9" s="11"/>
      <c r="AKU9" s="11"/>
      <c r="AKV9" s="11"/>
      <c r="AKW9" s="11"/>
      <c r="AKX9" s="11"/>
      <c r="AKY9" s="11"/>
      <c r="AKZ9" s="11"/>
      <c r="ALA9" s="11"/>
      <c r="ALB9" s="11"/>
      <c r="ALC9" s="11"/>
      <c r="ALD9" s="11"/>
      <c r="ALE9" s="11"/>
      <c r="ALF9" s="11"/>
      <c r="ALG9" s="11"/>
      <c r="ALH9" s="11"/>
      <c r="ALI9" s="11"/>
      <c r="ALJ9" s="11"/>
      <c r="ALK9" s="11"/>
      <c r="ALL9" s="11"/>
      <c r="ALM9" s="11"/>
      <c r="ALN9" s="11"/>
      <c r="ALO9" s="11"/>
      <c r="ALP9" s="11"/>
      <c r="ALQ9" s="11"/>
      <c r="ALR9" s="11"/>
      <c r="ALS9" s="11"/>
      <c r="ALT9" s="11"/>
      <c r="ALU9" s="11"/>
      <c r="ALV9" s="11"/>
      <c r="ALW9" s="11"/>
      <c r="ALX9" s="11"/>
      <c r="ALY9" s="11"/>
      <c r="ALZ9" s="11"/>
      <c r="AMA9" s="11"/>
      <c r="AMB9" s="11"/>
      <c r="AMC9" s="11"/>
      <c r="AMD9" s="11"/>
      <c r="AME9" s="11"/>
      <c r="AMF9" s="11"/>
      <c r="AMG9" s="11"/>
      <c r="AMH9" s="11"/>
      <c r="AMI9" s="11"/>
      <c r="AMJ9" s="11"/>
      <c r="AMK9" s="11"/>
      <c r="AML9" s="11"/>
      <c r="AMM9" s="11"/>
      <c r="AMN9" s="11"/>
      <c r="AMO9" s="11"/>
      <c r="AMP9" s="11"/>
      <c r="AMQ9" s="11"/>
      <c r="AMR9" s="11"/>
      <c r="AMS9" s="11"/>
      <c r="AMT9" s="11"/>
      <c r="AMU9" s="11"/>
      <c r="AMV9" s="11"/>
      <c r="AMW9" s="11"/>
      <c r="AMX9" s="11"/>
      <c r="AMY9" s="11"/>
      <c r="AMZ9" s="11"/>
      <c r="ANA9" s="11"/>
      <c r="ANB9" s="11"/>
      <c r="ANC9" s="11"/>
      <c r="AND9" s="11"/>
      <c r="ANE9" s="11"/>
      <c r="ANF9" s="11"/>
      <c r="ANG9" s="11"/>
      <c r="ANH9" s="11"/>
      <c r="ANI9" s="11"/>
      <c r="ANJ9" s="11"/>
      <c r="ANK9" s="11"/>
      <c r="ANL9" s="11"/>
      <c r="ANM9" s="11"/>
      <c r="ANN9" s="11"/>
      <c r="ANO9" s="11"/>
      <c r="ANP9" s="11"/>
      <c r="ANQ9" s="11"/>
      <c r="ANR9" s="11"/>
      <c r="ANS9" s="11"/>
      <c r="ANT9" s="11"/>
      <c r="ANU9" s="11"/>
      <c r="ANV9" s="11"/>
      <c r="ANW9" s="11"/>
      <c r="ANX9" s="11"/>
      <c r="ANY9" s="11"/>
      <c r="ANZ9" s="11"/>
      <c r="AOA9" s="11"/>
      <c r="AOB9" s="11"/>
      <c r="AOC9" s="11"/>
      <c r="AOD9" s="11"/>
      <c r="AOE9" s="11"/>
      <c r="AOF9" s="11"/>
      <c r="AOG9" s="11"/>
      <c r="AOH9" s="11"/>
      <c r="AOI9" s="11"/>
      <c r="AOJ9" s="11"/>
      <c r="AOK9" s="11"/>
      <c r="AOL9" s="11"/>
      <c r="AOM9" s="11"/>
      <c r="AON9" s="11"/>
      <c r="AOO9" s="11"/>
      <c r="AOP9" s="11"/>
      <c r="AOQ9" s="11"/>
      <c r="AOR9" s="11"/>
      <c r="AOS9" s="11"/>
      <c r="AOT9" s="11"/>
      <c r="AOU9" s="11"/>
      <c r="AOV9" s="11"/>
      <c r="AOW9" s="11"/>
      <c r="AOX9" s="11"/>
      <c r="AOY9" s="11"/>
      <c r="AOZ9" s="11"/>
      <c r="APA9" s="11"/>
      <c r="APB9" s="11"/>
      <c r="APC9" s="11"/>
      <c r="APD9" s="11"/>
      <c r="APE9" s="11"/>
      <c r="APF9" s="11"/>
      <c r="APG9" s="11"/>
      <c r="APH9" s="11"/>
      <c r="API9" s="11"/>
      <c r="APJ9" s="11"/>
      <c r="APK9" s="11"/>
      <c r="APL9" s="11"/>
      <c r="APM9" s="11"/>
      <c r="APN9" s="11"/>
      <c r="APO9" s="11"/>
      <c r="APP9" s="11"/>
      <c r="APQ9" s="11"/>
      <c r="APR9" s="11"/>
      <c r="APS9" s="11"/>
      <c r="APT9" s="11"/>
      <c r="APU9" s="11"/>
      <c r="APV9" s="11"/>
      <c r="APW9" s="11"/>
      <c r="APX9" s="11"/>
      <c r="APY9" s="11"/>
      <c r="APZ9" s="11"/>
      <c r="AQA9" s="11"/>
      <c r="AQB9" s="11"/>
      <c r="AQC9" s="11"/>
      <c r="AQD9" s="11"/>
      <c r="AQE9" s="11"/>
      <c r="AQF9" s="11"/>
      <c r="AQG9" s="11"/>
      <c r="AQH9" s="11"/>
      <c r="AQI9" s="11"/>
      <c r="AQJ9" s="11"/>
      <c r="AQK9" s="11"/>
      <c r="AQL9" s="11"/>
      <c r="AQM9" s="11"/>
      <c r="AQN9" s="11"/>
      <c r="AQO9" s="11"/>
      <c r="AQP9" s="11"/>
      <c r="AQQ9" s="11"/>
      <c r="AQR9" s="11"/>
      <c r="AQS9" s="11"/>
      <c r="AQT9" s="11"/>
      <c r="AQU9" s="11"/>
      <c r="AQV9" s="11"/>
      <c r="AQW9" s="11"/>
      <c r="AQX9" s="11"/>
      <c r="AQY9" s="11"/>
      <c r="AQZ9" s="11"/>
      <c r="ARA9" s="11"/>
      <c r="ARB9" s="11"/>
      <c r="ARC9" s="11"/>
      <c r="ARD9" s="11"/>
      <c r="ARE9" s="11"/>
      <c r="ARF9" s="11"/>
      <c r="ARG9" s="11"/>
      <c r="ARH9" s="11"/>
      <c r="ARI9" s="11"/>
      <c r="ARJ9" s="11"/>
      <c r="ARK9" s="11"/>
      <c r="ARL9" s="11"/>
      <c r="ARM9" s="11"/>
      <c r="ARN9" s="11"/>
      <c r="ARO9" s="11"/>
      <c r="ARP9" s="11"/>
      <c r="ARQ9" s="11"/>
      <c r="ARR9" s="11"/>
      <c r="ARS9" s="11"/>
      <c r="ART9" s="11"/>
      <c r="ARU9" s="11"/>
      <c r="ARV9" s="11"/>
      <c r="ARW9" s="11"/>
      <c r="ARX9" s="11"/>
      <c r="ARY9" s="11"/>
      <c r="ARZ9" s="11"/>
      <c r="ASA9" s="11"/>
      <c r="ASB9" s="11"/>
      <c r="ASC9" s="11"/>
      <c r="ASD9" s="11"/>
      <c r="ASE9" s="11"/>
      <c r="ASF9" s="11"/>
      <c r="ASG9" s="11"/>
      <c r="ASH9" s="11"/>
      <c r="ASI9" s="11"/>
      <c r="ASJ9" s="11"/>
      <c r="ASK9" s="11"/>
      <c r="ASL9" s="11"/>
      <c r="ASM9" s="11"/>
      <c r="ASN9" s="11"/>
      <c r="ASO9" s="11"/>
      <c r="ASP9" s="11"/>
      <c r="ASQ9" s="11"/>
      <c r="ASR9" s="11"/>
      <c r="ASS9" s="11"/>
      <c r="AST9" s="11"/>
      <c r="ASU9" s="11"/>
      <c r="ASV9" s="11"/>
      <c r="ASW9" s="11"/>
      <c r="ASX9" s="11"/>
      <c r="ASY9" s="11"/>
      <c r="ASZ9" s="11"/>
      <c r="ATA9" s="11"/>
      <c r="ATB9" s="11"/>
      <c r="ATC9" s="11"/>
      <c r="ATD9" s="11"/>
      <c r="ATE9" s="11"/>
      <c r="ATF9" s="11"/>
      <c r="ATG9" s="11"/>
      <c r="ATH9" s="11"/>
      <c r="ATI9" s="11"/>
      <c r="ATJ9" s="11"/>
      <c r="ATK9" s="11"/>
      <c r="ATL9" s="11"/>
      <c r="ATM9" s="11"/>
      <c r="ATN9" s="11"/>
      <c r="ATO9" s="11"/>
      <c r="ATP9" s="11"/>
      <c r="ATQ9" s="11"/>
      <c r="ATR9" s="11"/>
      <c r="ATS9" s="11"/>
      <c r="ATT9" s="11"/>
      <c r="ATU9" s="11"/>
      <c r="ATV9" s="11"/>
      <c r="ATW9" s="11"/>
      <c r="ATX9" s="11"/>
      <c r="ATY9" s="11"/>
      <c r="ATZ9" s="11"/>
      <c r="AUA9" s="11"/>
      <c r="AUB9" s="11"/>
      <c r="AUC9" s="11"/>
      <c r="AUD9" s="11"/>
      <c r="AUE9" s="11"/>
      <c r="AUF9" s="11"/>
      <c r="AUG9" s="11"/>
      <c r="AUH9" s="11"/>
      <c r="AUI9" s="11"/>
      <c r="AUJ9" s="11"/>
      <c r="AUK9" s="11"/>
      <c r="AUL9" s="11"/>
      <c r="AUM9" s="11"/>
      <c r="AUN9" s="11"/>
      <c r="AUO9" s="11"/>
      <c r="AUP9" s="11"/>
      <c r="AUQ9" s="11"/>
      <c r="AUR9" s="11"/>
      <c r="AUS9" s="11"/>
      <c r="AUT9" s="11"/>
      <c r="AUU9" s="11"/>
      <c r="AUV9" s="11"/>
      <c r="AUW9" s="11"/>
      <c r="AUX9" s="11"/>
      <c r="AUY9" s="11"/>
      <c r="AUZ9" s="11"/>
      <c r="AVA9" s="11"/>
      <c r="AVB9" s="11"/>
      <c r="AVC9" s="11"/>
      <c r="AVD9" s="11"/>
      <c r="AVE9" s="11"/>
      <c r="AVF9" s="11"/>
      <c r="AVG9" s="11"/>
      <c r="AVH9" s="11"/>
      <c r="AVI9" s="11"/>
      <c r="AVJ9" s="11"/>
      <c r="AVK9" s="11"/>
      <c r="AVL9" s="11"/>
      <c r="AVM9" s="11"/>
      <c r="AVN9" s="11"/>
      <c r="AVO9" s="11"/>
      <c r="AVP9" s="11"/>
      <c r="AVQ9" s="11"/>
      <c r="AVR9" s="11"/>
      <c r="AVS9" s="11"/>
      <c r="AVT9" s="11"/>
      <c r="AVU9" s="11"/>
      <c r="AVV9" s="11"/>
      <c r="AVW9" s="11"/>
      <c r="AVX9" s="11"/>
      <c r="AVY9" s="11"/>
      <c r="AVZ9" s="11"/>
      <c r="AWA9" s="11"/>
      <c r="AWB9" s="11"/>
      <c r="AWC9" s="11"/>
      <c r="AWD9" s="11"/>
      <c r="AWE9" s="11"/>
      <c r="AWF9" s="11"/>
      <c r="AWG9" s="11"/>
      <c r="AWH9" s="11"/>
      <c r="AWI9" s="11"/>
      <c r="AWJ9" s="11"/>
      <c r="AWK9" s="11"/>
      <c r="AWL9" s="11"/>
      <c r="AWM9" s="11"/>
      <c r="AWN9" s="11"/>
      <c r="AWO9" s="11"/>
      <c r="AWP9" s="11"/>
      <c r="AWQ9" s="11"/>
      <c r="AWR9" s="11"/>
      <c r="AWS9" s="11"/>
      <c r="AWT9" s="11"/>
      <c r="AWU9" s="11"/>
      <c r="AWV9" s="11"/>
      <c r="AWW9" s="11"/>
      <c r="AWX9" s="11"/>
      <c r="AWY9" s="11"/>
      <c r="AWZ9" s="11"/>
      <c r="AXA9" s="11"/>
      <c r="AXB9" s="11"/>
      <c r="AXC9" s="11"/>
      <c r="AXD9" s="11"/>
      <c r="AXE9" s="11"/>
      <c r="AXF9" s="11"/>
      <c r="AXG9" s="11"/>
      <c r="AXH9" s="11"/>
      <c r="AXI9" s="11"/>
      <c r="AXJ9" s="11"/>
      <c r="AXK9" s="11"/>
      <c r="AXL9" s="11"/>
      <c r="AXM9" s="11"/>
      <c r="AXN9" s="11"/>
      <c r="AXO9" s="11"/>
      <c r="AXP9" s="11"/>
      <c r="AXQ9" s="11"/>
      <c r="AXR9" s="11"/>
      <c r="AXS9" s="11"/>
      <c r="AXT9" s="11"/>
      <c r="AXU9" s="11"/>
      <c r="AXV9" s="11"/>
      <c r="AXW9" s="11"/>
      <c r="AXX9" s="11"/>
      <c r="AXY9" s="11"/>
      <c r="AXZ9" s="11"/>
      <c r="AYA9" s="11"/>
      <c r="AYB9" s="11"/>
      <c r="AYC9" s="11"/>
      <c r="AYD9" s="11"/>
      <c r="AYE9" s="11"/>
      <c r="AYF9" s="11"/>
      <c r="AYG9" s="11"/>
      <c r="AYH9" s="11"/>
      <c r="AYI9" s="11"/>
      <c r="AYJ9" s="11"/>
      <c r="AYK9" s="11"/>
      <c r="AYL9" s="11"/>
      <c r="AYM9" s="11"/>
      <c r="AYN9" s="11"/>
      <c r="AYO9" s="11"/>
      <c r="AYP9" s="11"/>
      <c r="AYQ9" s="11"/>
      <c r="AYR9" s="11"/>
      <c r="AYS9" s="11"/>
      <c r="AYT9" s="11"/>
      <c r="AYU9" s="11"/>
      <c r="AYV9" s="11"/>
      <c r="AYW9" s="11"/>
      <c r="AYX9" s="11"/>
      <c r="AYY9" s="11"/>
      <c r="AYZ9" s="11"/>
      <c r="AZA9" s="11"/>
      <c r="AZB9" s="11"/>
      <c r="AZC9" s="11"/>
      <c r="AZD9" s="11"/>
      <c r="AZE9" s="11"/>
      <c r="AZF9" s="11"/>
      <c r="AZG9" s="11"/>
      <c r="AZH9" s="11"/>
      <c r="AZI9" s="11"/>
      <c r="AZJ9" s="11"/>
      <c r="AZK9" s="11"/>
      <c r="AZL9" s="11"/>
      <c r="AZM9" s="11"/>
      <c r="AZN9" s="11"/>
      <c r="AZO9" s="11"/>
      <c r="AZP9" s="11"/>
      <c r="AZQ9" s="11"/>
      <c r="AZR9" s="11"/>
      <c r="AZS9" s="11"/>
      <c r="AZT9" s="11"/>
      <c r="AZU9" s="11"/>
      <c r="AZV9" s="11"/>
      <c r="AZW9" s="11"/>
      <c r="AZX9" s="11"/>
      <c r="AZY9" s="11"/>
      <c r="AZZ9" s="11"/>
      <c r="BAA9" s="11"/>
      <c r="BAB9" s="11"/>
      <c r="BAC9" s="11"/>
      <c r="BAD9" s="11"/>
      <c r="BAE9" s="11"/>
      <c r="BAF9" s="11"/>
      <c r="BAG9" s="11"/>
      <c r="BAH9" s="11"/>
      <c r="BAI9" s="11"/>
      <c r="BAJ9" s="11"/>
      <c r="BAK9" s="11"/>
      <c r="BAL9" s="11"/>
      <c r="BAM9" s="11"/>
      <c r="BAN9" s="11"/>
      <c r="BAO9" s="11"/>
      <c r="BAP9" s="11"/>
      <c r="BAQ9" s="11"/>
      <c r="BAR9" s="11"/>
      <c r="BAS9" s="11"/>
      <c r="BAT9" s="11"/>
      <c r="BAU9" s="11"/>
      <c r="BAV9" s="11"/>
      <c r="BAW9" s="11"/>
      <c r="BAX9" s="11"/>
      <c r="BAY9" s="11"/>
      <c r="BAZ9" s="11"/>
      <c r="BBA9" s="11"/>
      <c r="BBB9" s="11"/>
      <c r="BBC9" s="11"/>
      <c r="BBD9" s="11"/>
      <c r="BBE9" s="11"/>
      <c r="BBF9" s="11"/>
      <c r="BBG9" s="11"/>
      <c r="BBH9" s="11"/>
      <c r="BBI9" s="11"/>
      <c r="BBJ9" s="11"/>
      <c r="BBK9" s="11"/>
      <c r="BBL9" s="11"/>
      <c r="BBM9" s="11"/>
      <c r="BBN9" s="11"/>
      <c r="BBO9" s="11"/>
      <c r="BBP9" s="11"/>
      <c r="BBQ9" s="11"/>
      <c r="BBR9" s="11"/>
      <c r="BBS9" s="11"/>
      <c r="BBT9" s="11"/>
      <c r="BBU9" s="11"/>
      <c r="BBV9" s="11"/>
      <c r="BBW9" s="11"/>
      <c r="BBX9" s="11"/>
      <c r="BBY9" s="11"/>
      <c r="BBZ9" s="11"/>
      <c r="BCA9" s="11"/>
      <c r="BCB9" s="11"/>
      <c r="BCC9" s="11"/>
      <c r="BCD9" s="11"/>
      <c r="BCE9" s="11"/>
      <c r="BCF9" s="11"/>
      <c r="BCG9" s="11"/>
      <c r="BCH9" s="11"/>
      <c r="BCI9" s="11"/>
      <c r="BCJ9" s="11"/>
      <c r="BCK9" s="11"/>
      <c r="BCL9" s="11"/>
      <c r="BCM9" s="11"/>
      <c r="BCN9" s="11"/>
      <c r="BCO9" s="11"/>
      <c r="BCP9" s="11"/>
      <c r="BCQ9" s="11"/>
      <c r="BCR9" s="11"/>
      <c r="BCS9" s="11"/>
      <c r="BCT9" s="11"/>
      <c r="BCU9" s="11"/>
      <c r="BCV9" s="11"/>
      <c r="BCW9" s="11"/>
      <c r="BCX9" s="11"/>
      <c r="BCY9" s="11"/>
      <c r="BCZ9" s="11"/>
      <c r="BDA9" s="11"/>
      <c r="BDB9" s="11"/>
      <c r="BDC9" s="11"/>
      <c r="BDD9" s="11"/>
      <c r="BDE9" s="11"/>
      <c r="BDF9" s="11"/>
      <c r="BDG9" s="11"/>
      <c r="BDH9" s="11"/>
      <c r="BDI9" s="11"/>
      <c r="BDJ9" s="11"/>
      <c r="BDK9" s="11"/>
      <c r="BDL9" s="11"/>
      <c r="BDM9" s="11"/>
      <c r="BDN9" s="11"/>
      <c r="BDO9" s="11"/>
      <c r="BDP9" s="11"/>
      <c r="BDQ9" s="11"/>
      <c r="BDR9" s="11"/>
      <c r="BDS9" s="11"/>
      <c r="BDT9" s="11"/>
      <c r="BDU9" s="11"/>
      <c r="BDV9" s="11"/>
      <c r="BDW9" s="11"/>
      <c r="BDX9" s="11"/>
      <c r="BDY9" s="11"/>
      <c r="BDZ9" s="11"/>
      <c r="BEA9" s="11"/>
      <c r="BEB9" s="11"/>
      <c r="BEC9" s="11"/>
      <c r="BED9" s="11"/>
      <c r="BEE9" s="11"/>
      <c r="BEF9" s="11"/>
      <c r="BEG9" s="11"/>
      <c r="BEH9" s="11"/>
      <c r="BEI9" s="11"/>
      <c r="BEJ9" s="11"/>
      <c r="BEK9" s="11"/>
      <c r="BEL9" s="11"/>
      <c r="BEM9" s="11"/>
      <c r="BEN9" s="11"/>
      <c r="BEO9" s="11"/>
      <c r="BEP9" s="11"/>
      <c r="BEQ9" s="11"/>
      <c r="BER9" s="11"/>
      <c r="BES9" s="11"/>
      <c r="BET9" s="11"/>
      <c r="BEU9" s="11"/>
      <c r="BEV9" s="11"/>
      <c r="BEW9" s="11"/>
      <c r="BEX9" s="11"/>
      <c r="BEY9" s="11"/>
      <c r="BEZ9" s="11"/>
      <c r="BFA9" s="11"/>
      <c r="BFB9" s="11"/>
      <c r="BFC9" s="11"/>
      <c r="BFD9" s="11"/>
      <c r="BFE9" s="11"/>
      <c r="BFF9" s="11"/>
      <c r="BFG9" s="11"/>
      <c r="BFH9" s="11"/>
      <c r="BFI9" s="11"/>
      <c r="BFJ9" s="11"/>
      <c r="BFK9" s="11"/>
      <c r="BFL9" s="11"/>
      <c r="BFM9" s="11"/>
      <c r="BFN9" s="11"/>
      <c r="BFO9" s="11"/>
      <c r="BFP9" s="11"/>
      <c r="BFQ9" s="11"/>
      <c r="BFR9" s="11"/>
      <c r="BFS9" s="11"/>
      <c r="BFT9" s="11"/>
      <c r="BFU9" s="11"/>
      <c r="BFV9" s="11"/>
      <c r="BFW9" s="11"/>
      <c r="BFX9" s="11"/>
      <c r="BFY9" s="11"/>
      <c r="BFZ9" s="11"/>
      <c r="BGA9" s="11"/>
      <c r="BGB9" s="11"/>
      <c r="BGC9" s="11"/>
      <c r="BGD9" s="11"/>
      <c r="BGE9" s="11"/>
      <c r="BGF9" s="11"/>
      <c r="BGG9" s="11"/>
      <c r="BGH9" s="11"/>
      <c r="BGI9" s="11"/>
      <c r="BGJ9" s="11"/>
      <c r="BGK9" s="11"/>
      <c r="BGL9" s="11"/>
      <c r="BGM9" s="11"/>
      <c r="BGN9" s="11"/>
      <c r="BGO9" s="11"/>
      <c r="BGP9" s="11"/>
      <c r="BGQ9" s="11"/>
      <c r="BGR9" s="11"/>
      <c r="BGS9" s="11"/>
      <c r="BGT9" s="11"/>
      <c r="BGU9" s="11"/>
      <c r="BGV9" s="11"/>
      <c r="BGW9" s="11"/>
      <c r="BGX9" s="11"/>
      <c r="BGY9" s="11"/>
      <c r="BGZ9" s="11"/>
      <c r="BHA9" s="11"/>
      <c r="BHB9" s="11"/>
      <c r="BHC9" s="11"/>
      <c r="BHD9" s="11"/>
      <c r="BHE9" s="11"/>
      <c r="BHF9" s="11"/>
      <c r="BHG9" s="11"/>
      <c r="BHH9" s="11"/>
      <c r="BHI9" s="11"/>
      <c r="BHJ9" s="11"/>
      <c r="BHK9" s="11"/>
      <c r="BHL9" s="11"/>
      <c r="BHM9" s="11"/>
      <c r="BHN9" s="11"/>
      <c r="BHO9" s="11"/>
      <c r="BHP9" s="11"/>
      <c r="BHQ9" s="11"/>
      <c r="BHR9" s="11"/>
      <c r="BHS9" s="11"/>
      <c r="BHT9" s="11"/>
      <c r="BHU9" s="11"/>
      <c r="BHV9" s="11"/>
      <c r="BHW9" s="11"/>
      <c r="BHX9" s="11"/>
      <c r="BHY9" s="11"/>
      <c r="BHZ9" s="11"/>
      <c r="BIA9" s="11"/>
      <c r="BIB9" s="11"/>
      <c r="BIC9" s="11"/>
      <c r="BID9" s="11"/>
      <c r="BIE9" s="11"/>
      <c r="BIF9" s="11"/>
      <c r="BIG9" s="11"/>
      <c r="BIH9" s="11"/>
      <c r="BII9" s="11"/>
      <c r="BIJ9" s="11"/>
      <c r="BIK9" s="11"/>
      <c r="BIL9" s="11"/>
      <c r="BIM9" s="11"/>
      <c r="BIN9" s="11"/>
      <c r="BIO9" s="11"/>
      <c r="BIP9" s="11"/>
      <c r="BIQ9" s="11"/>
      <c r="BIR9" s="11"/>
      <c r="BIS9" s="11"/>
      <c r="BIT9" s="11"/>
      <c r="BIU9" s="11"/>
      <c r="BIV9" s="11"/>
      <c r="BIW9" s="11"/>
      <c r="BIX9" s="11"/>
      <c r="BIY9" s="11"/>
      <c r="BIZ9" s="11"/>
      <c r="BJA9" s="11"/>
      <c r="BJB9" s="11"/>
      <c r="BJC9" s="11"/>
      <c r="BJD9" s="11"/>
      <c r="BJE9" s="11"/>
      <c r="BJF9" s="11"/>
      <c r="BJG9" s="11"/>
      <c r="BJH9" s="11"/>
      <c r="BJI9" s="11"/>
      <c r="BJJ9" s="11"/>
      <c r="BJK9" s="11"/>
      <c r="BJL9" s="11"/>
      <c r="BJM9" s="11"/>
      <c r="BJN9" s="11"/>
      <c r="BJO9" s="11"/>
      <c r="BJP9" s="11"/>
      <c r="BJQ9" s="11"/>
      <c r="BJR9" s="11"/>
      <c r="BJS9" s="11"/>
      <c r="BJT9" s="11"/>
      <c r="BJU9" s="11"/>
      <c r="BJV9" s="11"/>
      <c r="BJW9" s="11"/>
      <c r="BJX9" s="11"/>
      <c r="BJY9" s="11"/>
      <c r="BJZ9" s="11"/>
      <c r="BKA9" s="11"/>
      <c r="BKB9" s="11"/>
      <c r="BKC9" s="11"/>
      <c r="BKD9" s="11"/>
      <c r="BKE9" s="11"/>
      <c r="BKF9" s="11"/>
      <c r="BKG9" s="11"/>
      <c r="BKH9" s="11"/>
      <c r="BKI9" s="11"/>
      <c r="BKJ9" s="11"/>
      <c r="BKK9" s="11"/>
      <c r="BKL9" s="11"/>
      <c r="BKM9" s="11"/>
      <c r="BKN9" s="11"/>
      <c r="BKO9" s="11"/>
      <c r="BKP9" s="11"/>
      <c r="BKQ9" s="11"/>
      <c r="BKR9" s="11"/>
      <c r="BKS9" s="11"/>
      <c r="BKT9" s="11"/>
      <c r="BKU9" s="11"/>
      <c r="BKV9" s="11"/>
      <c r="BKW9" s="11"/>
      <c r="BKX9" s="11"/>
      <c r="BKY9" s="11"/>
      <c r="BKZ9" s="11"/>
      <c r="BLA9" s="11"/>
      <c r="BLB9" s="11"/>
      <c r="BLC9" s="11"/>
      <c r="BLD9" s="11"/>
      <c r="BLE9" s="11"/>
      <c r="BLF9" s="11"/>
      <c r="BLG9" s="11"/>
      <c r="BLH9" s="11"/>
      <c r="BLI9" s="11"/>
      <c r="BLJ9" s="11"/>
      <c r="BLK9" s="11"/>
      <c r="BLL9" s="11"/>
      <c r="BLM9" s="11"/>
      <c r="BLN9" s="11"/>
      <c r="BLO9" s="11"/>
      <c r="BLP9" s="11"/>
      <c r="BLQ9" s="11"/>
      <c r="BLR9" s="11"/>
      <c r="BLS9" s="11"/>
      <c r="BLT9" s="11"/>
      <c r="BLU9" s="11"/>
      <c r="BLV9" s="11"/>
      <c r="BLW9" s="11"/>
      <c r="BLX9" s="11"/>
      <c r="BLY9" s="11"/>
      <c r="BLZ9" s="11"/>
      <c r="BMA9" s="11"/>
      <c r="BMB9" s="11"/>
      <c r="BMC9" s="11"/>
      <c r="BMD9" s="11"/>
      <c r="BME9" s="11"/>
      <c r="BMF9" s="11"/>
      <c r="BMG9" s="11"/>
      <c r="BMH9" s="11"/>
      <c r="BMI9" s="11"/>
      <c r="BMJ9" s="11"/>
      <c r="BMK9" s="11"/>
      <c r="BML9" s="11"/>
      <c r="BMM9" s="11"/>
      <c r="BMN9" s="11"/>
      <c r="BMO9" s="11"/>
      <c r="BMP9" s="11"/>
      <c r="BMQ9" s="11"/>
      <c r="BMR9" s="11"/>
      <c r="BMS9" s="11"/>
      <c r="BMT9" s="11"/>
      <c r="BMU9" s="11"/>
      <c r="BMV9" s="11"/>
      <c r="BMW9" s="11"/>
      <c r="BMX9" s="11"/>
      <c r="BMY9" s="11"/>
      <c r="BMZ9" s="11"/>
      <c r="BNA9" s="11"/>
      <c r="BNB9" s="11"/>
      <c r="BNC9" s="11"/>
      <c r="BND9" s="11"/>
      <c r="BNE9" s="11"/>
      <c r="BNF9" s="11"/>
      <c r="BNG9" s="11"/>
      <c r="BNH9" s="11"/>
      <c r="BNI9" s="11"/>
      <c r="BNJ9" s="11"/>
      <c r="BNK9" s="11"/>
      <c r="BNL9" s="11"/>
      <c r="BNM9" s="11"/>
      <c r="BNN9" s="11"/>
      <c r="BNO9" s="11"/>
      <c r="BNP9" s="11"/>
      <c r="BNQ9" s="11"/>
      <c r="BNR9" s="11"/>
      <c r="BNS9" s="11"/>
      <c r="BNT9" s="11"/>
      <c r="BNU9" s="11"/>
      <c r="BNV9" s="11"/>
      <c r="BNW9" s="11"/>
      <c r="BNX9" s="11"/>
      <c r="BNY9" s="11"/>
      <c r="BNZ9" s="11"/>
      <c r="BOA9" s="11"/>
      <c r="BOB9" s="11"/>
      <c r="BOC9" s="11"/>
      <c r="BOD9" s="11"/>
      <c r="BOE9" s="11"/>
      <c r="BOF9" s="11"/>
      <c r="BOG9" s="11"/>
      <c r="BOH9" s="11"/>
      <c r="BOI9" s="11"/>
      <c r="BOJ9" s="11"/>
      <c r="BOK9" s="11"/>
      <c r="BOL9" s="11"/>
      <c r="BOM9" s="11"/>
      <c r="BON9" s="11"/>
      <c r="BOO9" s="11"/>
      <c r="BOP9" s="11"/>
      <c r="BOQ9" s="11"/>
      <c r="BOR9" s="11"/>
      <c r="BOS9" s="11"/>
      <c r="BOT9" s="11"/>
      <c r="BOU9" s="11"/>
      <c r="BOV9" s="11"/>
      <c r="BOW9" s="11"/>
      <c r="BOX9" s="11"/>
      <c r="BOY9" s="11"/>
      <c r="BOZ9" s="11"/>
      <c r="BPA9" s="11"/>
      <c r="BPB9" s="11"/>
      <c r="BPC9" s="11"/>
      <c r="BPD9" s="11"/>
      <c r="BPE9" s="11"/>
      <c r="BPF9" s="11"/>
      <c r="BPG9" s="11"/>
      <c r="BPH9" s="11"/>
      <c r="BPI9" s="11"/>
      <c r="BPJ9" s="11"/>
      <c r="BPK9" s="11"/>
      <c r="BPL9" s="11"/>
      <c r="BPM9" s="11"/>
      <c r="BPN9" s="11"/>
      <c r="BPO9" s="11"/>
      <c r="BPP9" s="11"/>
      <c r="BPQ9" s="11"/>
      <c r="BPR9" s="11"/>
      <c r="BPS9" s="11"/>
      <c r="BPT9" s="11"/>
      <c r="BPU9" s="11"/>
      <c r="BPV9" s="11"/>
      <c r="BPW9" s="11"/>
      <c r="BPX9" s="11"/>
      <c r="BPY9" s="11"/>
      <c r="BPZ9" s="11"/>
      <c r="BQA9" s="11"/>
      <c r="BQB9" s="11"/>
      <c r="BQC9" s="11"/>
      <c r="BQD9" s="11"/>
      <c r="BQE9" s="11"/>
      <c r="BQF9" s="11"/>
      <c r="BQG9" s="11"/>
      <c r="BQH9" s="11"/>
      <c r="BQI9" s="11"/>
      <c r="BQJ9" s="11"/>
      <c r="BQK9" s="11"/>
      <c r="BQL9" s="11"/>
      <c r="BQM9" s="11"/>
      <c r="BQN9" s="11"/>
      <c r="BQO9" s="11"/>
      <c r="BQP9" s="11"/>
      <c r="BQQ9" s="11"/>
      <c r="BQR9" s="11"/>
      <c r="BQS9" s="11"/>
      <c r="BQT9" s="11"/>
      <c r="BQU9" s="11"/>
      <c r="BQV9" s="11"/>
      <c r="BQW9" s="11"/>
      <c r="BQX9" s="11"/>
      <c r="BQY9" s="11"/>
      <c r="BQZ9" s="11"/>
      <c r="BRA9" s="11"/>
      <c r="BRB9" s="11"/>
      <c r="BRC9" s="11"/>
      <c r="BRD9" s="11"/>
      <c r="BRE9" s="11"/>
      <c r="BRF9" s="11"/>
      <c r="BRG9" s="11"/>
      <c r="BRH9" s="11"/>
      <c r="BRI9" s="11"/>
      <c r="BRJ9" s="11"/>
      <c r="BRK9" s="11"/>
      <c r="BRL9" s="11"/>
      <c r="BRM9" s="11"/>
      <c r="BRN9" s="11"/>
      <c r="BRO9" s="11"/>
      <c r="BRP9" s="11"/>
      <c r="BRQ9" s="11"/>
      <c r="BRR9" s="11"/>
      <c r="BRS9" s="11"/>
      <c r="BRT9" s="11"/>
      <c r="BRU9" s="11"/>
      <c r="BRV9" s="11"/>
      <c r="BRW9" s="11"/>
      <c r="BRX9" s="11"/>
      <c r="BRY9" s="11"/>
      <c r="BRZ9" s="11"/>
      <c r="BSA9" s="11"/>
      <c r="BSB9" s="11"/>
      <c r="BSC9" s="11"/>
      <c r="BSD9" s="11"/>
    </row>
    <row r="10" spans="1:1850" s="12" customFormat="1" ht="20.100000000000001" customHeight="1">
      <c r="A10" s="80" t="s">
        <v>2</v>
      </c>
      <c r="B10" s="81"/>
      <c r="C10" s="82">
        <v>41522</v>
      </c>
      <c r="D10" s="83">
        <v>41532</v>
      </c>
      <c r="E10" s="84" t="str">
        <f t="shared" si="0"/>
        <v>11 days</v>
      </c>
      <c r="F10" s="13"/>
      <c r="G10" s="14"/>
      <c r="H10" s="14"/>
      <c r="I10" s="14"/>
      <c r="J10" s="19"/>
      <c r="K10" s="19"/>
      <c r="L10" s="20"/>
      <c r="M10" s="20"/>
      <c r="N10" s="20"/>
      <c r="O10" s="20"/>
      <c r="P10" s="20"/>
      <c r="Q10" s="20"/>
      <c r="R10" s="20"/>
      <c r="S10" s="20"/>
      <c r="T10" s="20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7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  <c r="XY10" s="11"/>
      <c r="XZ10" s="11"/>
      <c r="YA10" s="11"/>
      <c r="YB10" s="11"/>
      <c r="YC10" s="11"/>
      <c r="YD10" s="11"/>
      <c r="YE10" s="11"/>
      <c r="YF10" s="11"/>
      <c r="YG10" s="11"/>
      <c r="YH10" s="11"/>
      <c r="YI10" s="11"/>
      <c r="YJ10" s="11"/>
      <c r="YK10" s="11"/>
      <c r="YL10" s="11"/>
      <c r="YM10" s="11"/>
      <c r="YN10" s="11"/>
      <c r="YO10" s="11"/>
      <c r="YP10" s="11"/>
      <c r="YQ10" s="11"/>
      <c r="YR10" s="11"/>
      <c r="YS10" s="11"/>
      <c r="YT10" s="11"/>
      <c r="YU10" s="11"/>
      <c r="YV10" s="11"/>
      <c r="YW10" s="11"/>
      <c r="YX10" s="11"/>
      <c r="YY10" s="11"/>
      <c r="YZ10" s="11"/>
      <c r="ZA10" s="11"/>
      <c r="ZB10" s="11"/>
      <c r="ZC10" s="11"/>
      <c r="ZD10" s="11"/>
      <c r="ZE10" s="11"/>
      <c r="ZF10" s="11"/>
      <c r="ZG10" s="11"/>
      <c r="ZH10" s="11"/>
      <c r="ZI10" s="11"/>
      <c r="ZJ10" s="11"/>
      <c r="ZK10" s="11"/>
      <c r="ZL10" s="11"/>
      <c r="ZM10" s="11"/>
      <c r="ZN10" s="11"/>
      <c r="ZO10" s="11"/>
      <c r="ZP10" s="11"/>
      <c r="ZQ10" s="11"/>
      <c r="ZR10" s="11"/>
      <c r="ZS10" s="11"/>
      <c r="ZT10" s="11"/>
      <c r="ZU10" s="11"/>
      <c r="ZV10" s="11"/>
      <c r="ZW10" s="11"/>
      <c r="ZX10" s="11"/>
      <c r="ZY10" s="11"/>
      <c r="ZZ10" s="11"/>
      <c r="AAA10" s="11"/>
      <c r="AAB10" s="11"/>
      <c r="AAC10" s="11"/>
      <c r="AAD10" s="11"/>
      <c r="AAE10" s="11"/>
      <c r="AAF10" s="11"/>
      <c r="AAG10" s="11"/>
      <c r="AAH10" s="11"/>
      <c r="AAI10" s="11"/>
      <c r="AAJ10" s="11"/>
      <c r="AAK10" s="11"/>
      <c r="AAL10" s="11"/>
      <c r="AAM10" s="11"/>
      <c r="AAN10" s="11"/>
      <c r="AAO10" s="11"/>
      <c r="AAP10" s="11"/>
      <c r="AAQ10" s="11"/>
      <c r="AAR10" s="11"/>
      <c r="AAS10" s="11"/>
      <c r="AAT10" s="11"/>
      <c r="AAU10" s="11"/>
      <c r="AAV10" s="11"/>
      <c r="AAW10" s="11"/>
      <c r="AAX10" s="11"/>
      <c r="AAY10" s="11"/>
      <c r="AAZ10" s="11"/>
      <c r="ABA10" s="11"/>
      <c r="ABB10" s="11"/>
      <c r="ABC10" s="11"/>
      <c r="ABD10" s="11"/>
      <c r="ABE10" s="11"/>
      <c r="ABF10" s="11"/>
      <c r="ABG10" s="11"/>
      <c r="ABH10" s="11"/>
      <c r="ABI10" s="11"/>
      <c r="ABJ10" s="11"/>
      <c r="ABK10" s="11"/>
      <c r="ABL10" s="11"/>
      <c r="ABM10" s="11"/>
      <c r="ABN10" s="11"/>
      <c r="ABO10" s="11"/>
      <c r="ABP10" s="11"/>
      <c r="ABQ10" s="11"/>
      <c r="ABR10" s="11"/>
      <c r="ABS10" s="11"/>
      <c r="ABT10" s="11"/>
      <c r="ABU10" s="11"/>
      <c r="ABV10" s="11"/>
      <c r="ABW10" s="11"/>
      <c r="ABX10" s="11"/>
      <c r="ABY10" s="11"/>
      <c r="ABZ10" s="11"/>
      <c r="ACA10" s="11"/>
      <c r="ACB10" s="11"/>
      <c r="ACC10" s="11"/>
      <c r="ACD10" s="11"/>
      <c r="ACE10" s="11"/>
      <c r="ACF10" s="11"/>
      <c r="ACG10" s="11"/>
      <c r="ACH10" s="11"/>
      <c r="ACI10" s="11"/>
      <c r="ACJ10" s="11"/>
      <c r="ACK10" s="11"/>
      <c r="ACL10" s="11"/>
      <c r="ACM10" s="11"/>
      <c r="ACN10" s="11"/>
      <c r="ACO10" s="11"/>
      <c r="ACP10" s="11"/>
      <c r="ACQ10" s="11"/>
      <c r="ACR10" s="11"/>
      <c r="ACS10" s="11"/>
      <c r="ACT10" s="11"/>
      <c r="ACU10" s="11"/>
      <c r="ACV10" s="11"/>
      <c r="ACW10" s="11"/>
      <c r="ACX10" s="11"/>
      <c r="ACY10" s="11"/>
      <c r="ACZ10" s="11"/>
      <c r="ADA10" s="11"/>
      <c r="ADB10" s="11"/>
      <c r="ADC10" s="11"/>
      <c r="ADD10" s="11"/>
      <c r="ADE10" s="11"/>
      <c r="ADF10" s="11"/>
      <c r="ADG10" s="11"/>
      <c r="ADH10" s="11"/>
      <c r="ADI10" s="11"/>
      <c r="ADJ10" s="11"/>
      <c r="ADK10" s="11"/>
      <c r="ADL10" s="11"/>
      <c r="ADM10" s="11"/>
      <c r="ADN10" s="11"/>
      <c r="ADO10" s="11"/>
      <c r="ADP10" s="11"/>
      <c r="ADQ10" s="11"/>
      <c r="ADR10" s="11"/>
      <c r="ADS10" s="11"/>
      <c r="ADT10" s="11"/>
      <c r="ADU10" s="11"/>
      <c r="ADV10" s="11"/>
      <c r="ADW10" s="11"/>
      <c r="ADX10" s="11"/>
      <c r="ADY10" s="11"/>
      <c r="ADZ10" s="11"/>
      <c r="AEA10" s="11"/>
      <c r="AEB10" s="11"/>
      <c r="AEC10" s="11"/>
      <c r="AED10" s="11"/>
      <c r="AEE10" s="11"/>
      <c r="AEF10" s="11"/>
      <c r="AEG10" s="11"/>
      <c r="AEH10" s="11"/>
      <c r="AEI10" s="11"/>
      <c r="AEJ10" s="11"/>
      <c r="AEK10" s="11"/>
      <c r="AEL10" s="11"/>
      <c r="AEM10" s="11"/>
      <c r="AEN10" s="11"/>
      <c r="AEO10" s="11"/>
      <c r="AEP10" s="11"/>
      <c r="AEQ10" s="11"/>
      <c r="AER10" s="11"/>
      <c r="AES10" s="11"/>
      <c r="AET10" s="11"/>
      <c r="AEU10" s="11"/>
      <c r="AEV10" s="11"/>
      <c r="AEW10" s="11"/>
      <c r="AEX10" s="11"/>
      <c r="AEY10" s="11"/>
      <c r="AEZ10" s="11"/>
      <c r="AFA10" s="11"/>
      <c r="AFB10" s="11"/>
      <c r="AFC10" s="11"/>
      <c r="AFD10" s="11"/>
      <c r="AFE10" s="11"/>
      <c r="AFF10" s="11"/>
      <c r="AFG10" s="11"/>
      <c r="AFH10" s="11"/>
      <c r="AFI10" s="11"/>
      <c r="AFJ10" s="11"/>
      <c r="AFK10" s="11"/>
      <c r="AFL10" s="11"/>
      <c r="AFM10" s="11"/>
      <c r="AFN10" s="11"/>
      <c r="AFO10" s="11"/>
      <c r="AFP10" s="11"/>
      <c r="AFQ10" s="11"/>
      <c r="AFR10" s="11"/>
      <c r="AFS10" s="11"/>
      <c r="AFT10" s="11"/>
      <c r="AFU10" s="11"/>
      <c r="AFV10" s="11"/>
      <c r="AFW10" s="11"/>
      <c r="AFX10" s="11"/>
      <c r="AFY10" s="11"/>
      <c r="AFZ10" s="11"/>
      <c r="AGA10" s="11"/>
      <c r="AGB10" s="11"/>
      <c r="AGC10" s="11"/>
      <c r="AGD10" s="11"/>
      <c r="AGE10" s="11"/>
      <c r="AGF10" s="11"/>
      <c r="AGG10" s="11"/>
      <c r="AGH10" s="11"/>
      <c r="AGI10" s="11"/>
      <c r="AGJ10" s="11"/>
      <c r="AGK10" s="11"/>
      <c r="AGL10" s="11"/>
      <c r="AGM10" s="11"/>
      <c r="AGN10" s="11"/>
      <c r="AGO10" s="11"/>
      <c r="AGP10" s="11"/>
      <c r="AGQ10" s="11"/>
      <c r="AGR10" s="11"/>
      <c r="AGS10" s="11"/>
      <c r="AGT10" s="11"/>
      <c r="AGU10" s="11"/>
      <c r="AGV10" s="11"/>
      <c r="AGW10" s="11"/>
      <c r="AGX10" s="11"/>
      <c r="AGY10" s="11"/>
      <c r="AGZ10" s="11"/>
      <c r="AHA10" s="11"/>
      <c r="AHB10" s="11"/>
      <c r="AHC10" s="11"/>
      <c r="AHD10" s="11"/>
      <c r="AHE10" s="11"/>
      <c r="AHF10" s="11"/>
      <c r="AHG10" s="11"/>
      <c r="AHH10" s="11"/>
      <c r="AHI10" s="11"/>
      <c r="AHJ10" s="11"/>
      <c r="AHK10" s="11"/>
      <c r="AHL10" s="11"/>
      <c r="AHM10" s="11"/>
      <c r="AHN10" s="11"/>
      <c r="AHO10" s="11"/>
      <c r="AHP10" s="11"/>
      <c r="AHQ10" s="11"/>
      <c r="AHR10" s="11"/>
      <c r="AHS10" s="11"/>
      <c r="AHT10" s="11"/>
      <c r="AHU10" s="11"/>
      <c r="AHV10" s="11"/>
      <c r="AHW10" s="11"/>
      <c r="AHX10" s="11"/>
      <c r="AHY10" s="11"/>
      <c r="AHZ10" s="11"/>
      <c r="AIA10" s="11"/>
      <c r="AIB10" s="11"/>
      <c r="AIC10" s="11"/>
      <c r="AID10" s="11"/>
      <c r="AIE10" s="11"/>
      <c r="AIF10" s="11"/>
      <c r="AIG10" s="11"/>
      <c r="AIH10" s="11"/>
      <c r="AII10" s="11"/>
      <c r="AIJ10" s="11"/>
      <c r="AIK10" s="11"/>
      <c r="AIL10" s="11"/>
      <c r="AIM10" s="11"/>
      <c r="AIN10" s="11"/>
      <c r="AIO10" s="11"/>
      <c r="AIP10" s="11"/>
      <c r="AIQ10" s="11"/>
      <c r="AIR10" s="11"/>
      <c r="AIS10" s="11"/>
      <c r="AIT10" s="11"/>
      <c r="AIU10" s="11"/>
      <c r="AIV10" s="11"/>
      <c r="AIW10" s="11"/>
      <c r="AIX10" s="11"/>
      <c r="AIY10" s="11"/>
      <c r="AIZ10" s="11"/>
      <c r="AJA10" s="11"/>
      <c r="AJB10" s="11"/>
      <c r="AJC10" s="11"/>
      <c r="AJD10" s="11"/>
      <c r="AJE10" s="11"/>
      <c r="AJF10" s="11"/>
      <c r="AJG10" s="11"/>
      <c r="AJH10" s="11"/>
      <c r="AJI10" s="11"/>
      <c r="AJJ10" s="11"/>
      <c r="AJK10" s="11"/>
      <c r="AJL10" s="11"/>
      <c r="AJM10" s="11"/>
      <c r="AJN10" s="11"/>
      <c r="AJO10" s="11"/>
      <c r="AJP10" s="11"/>
      <c r="AJQ10" s="11"/>
      <c r="AJR10" s="11"/>
      <c r="AJS10" s="11"/>
      <c r="AJT10" s="11"/>
      <c r="AJU10" s="11"/>
      <c r="AJV10" s="11"/>
      <c r="AJW10" s="11"/>
      <c r="AJX10" s="11"/>
      <c r="AJY10" s="11"/>
      <c r="AJZ10" s="11"/>
      <c r="AKA10" s="11"/>
      <c r="AKB10" s="11"/>
      <c r="AKC10" s="11"/>
      <c r="AKD10" s="11"/>
      <c r="AKE10" s="11"/>
      <c r="AKF10" s="11"/>
      <c r="AKG10" s="11"/>
      <c r="AKH10" s="11"/>
      <c r="AKI10" s="11"/>
      <c r="AKJ10" s="11"/>
      <c r="AKK10" s="11"/>
      <c r="AKL10" s="11"/>
      <c r="AKM10" s="11"/>
      <c r="AKN10" s="11"/>
      <c r="AKO10" s="11"/>
      <c r="AKP10" s="11"/>
      <c r="AKQ10" s="11"/>
      <c r="AKR10" s="11"/>
      <c r="AKS10" s="11"/>
      <c r="AKT10" s="11"/>
      <c r="AKU10" s="11"/>
      <c r="AKV10" s="11"/>
      <c r="AKW10" s="11"/>
      <c r="AKX10" s="11"/>
      <c r="AKY10" s="11"/>
      <c r="AKZ10" s="11"/>
      <c r="ALA10" s="11"/>
      <c r="ALB10" s="11"/>
      <c r="ALC10" s="11"/>
      <c r="ALD10" s="11"/>
      <c r="ALE10" s="11"/>
      <c r="ALF10" s="11"/>
      <c r="ALG10" s="11"/>
      <c r="ALH10" s="11"/>
      <c r="ALI10" s="11"/>
      <c r="ALJ10" s="11"/>
      <c r="ALK10" s="11"/>
      <c r="ALL10" s="11"/>
      <c r="ALM10" s="11"/>
      <c r="ALN10" s="11"/>
      <c r="ALO10" s="11"/>
      <c r="ALP10" s="11"/>
      <c r="ALQ10" s="11"/>
      <c r="ALR10" s="11"/>
      <c r="ALS10" s="11"/>
      <c r="ALT10" s="11"/>
      <c r="ALU10" s="11"/>
      <c r="ALV10" s="11"/>
      <c r="ALW10" s="11"/>
      <c r="ALX10" s="11"/>
      <c r="ALY10" s="11"/>
      <c r="ALZ10" s="11"/>
      <c r="AMA10" s="11"/>
      <c r="AMB10" s="11"/>
      <c r="AMC10" s="11"/>
      <c r="AMD10" s="11"/>
      <c r="AME10" s="11"/>
      <c r="AMF10" s="11"/>
      <c r="AMG10" s="11"/>
      <c r="AMH10" s="11"/>
      <c r="AMI10" s="11"/>
      <c r="AMJ10" s="11"/>
      <c r="AMK10" s="11"/>
      <c r="AML10" s="11"/>
      <c r="AMM10" s="11"/>
      <c r="AMN10" s="11"/>
      <c r="AMO10" s="11"/>
      <c r="AMP10" s="11"/>
      <c r="AMQ10" s="11"/>
      <c r="AMR10" s="11"/>
      <c r="AMS10" s="11"/>
      <c r="AMT10" s="11"/>
      <c r="AMU10" s="11"/>
      <c r="AMV10" s="11"/>
      <c r="AMW10" s="11"/>
      <c r="AMX10" s="11"/>
      <c r="AMY10" s="11"/>
      <c r="AMZ10" s="11"/>
      <c r="ANA10" s="11"/>
      <c r="ANB10" s="11"/>
      <c r="ANC10" s="11"/>
      <c r="AND10" s="11"/>
      <c r="ANE10" s="11"/>
      <c r="ANF10" s="11"/>
      <c r="ANG10" s="11"/>
      <c r="ANH10" s="11"/>
      <c r="ANI10" s="11"/>
      <c r="ANJ10" s="11"/>
      <c r="ANK10" s="11"/>
      <c r="ANL10" s="11"/>
      <c r="ANM10" s="11"/>
      <c r="ANN10" s="11"/>
      <c r="ANO10" s="11"/>
      <c r="ANP10" s="11"/>
      <c r="ANQ10" s="11"/>
      <c r="ANR10" s="11"/>
      <c r="ANS10" s="11"/>
      <c r="ANT10" s="11"/>
      <c r="ANU10" s="11"/>
      <c r="ANV10" s="11"/>
      <c r="ANW10" s="11"/>
      <c r="ANX10" s="11"/>
      <c r="ANY10" s="11"/>
      <c r="ANZ10" s="11"/>
      <c r="AOA10" s="11"/>
      <c r="AOB10" s="11"/>
      <c r="AOC10" s="11"/>
      <c r="AOD10" s="11"/>
      <c r="AOE10" s="11"/>
      <c r="AOF10" s="11"/>
      <c r="AOG10" s="11"/>
      <c r="AOH10" s="11"/>
      <c r="AOI10" s="11"/>
      <c r="AOJ10" s="11"/>
      <c r="AOK10" s="11"/>
      <c r="AOL10" s="11"/>
      <c r="AOM10" s="11"/>
      <c r="AON10" s="11"/>
      <c r="AOO10" s="11"/>
      <c r="AOP10" s="11"/>
      <c r="AOQ10" s="11"/>
      <c r="AOR10" s="11"/>
      <c r="AOS10" s="11"/>
      <c r="AOT10" s="11"/>
      <c r="AOU10" s="11"/>
      <c r="AOV10" s="11"/>
      <c r="AOW10" s="11"/>
      <c r="AOX10" s="11"/>
      <c r="AOY10" s="11"/>
      <c r="AOZ10" s="11"/>
      <c r="APA10" s="11"/>
      <c r="APB10" s="11"/>
      <c r="APC10" s="11"/>
      <c r="APD10" s="11"/>
      <c r="APE10" s="11"/>
      <c r="APF10" s="11"/>
      <c r="APG10" s="11"/>
      <c r="APH10" s="11"/>
      <c r="API10" s="11"/>
      <c r="APJ10" s="11"/>
      <c r="APK10" s="11"/>
      <c r="APL10" s="11"/>
      <c r="APM10" s="11"/>
      <c r="APN10" s="11"/>
      <c r="APO10" s="11"/>
      <c r="APP10" s="11"/>
      <c r="APQ10" s="11"/>
      <c r="APR10" s="11"/>
      <c r="APS10" s="11"/>
      <c r="APT10" s="11"/>
      <c r="APU10" s="11"/>
      <c r="APV10" s="11"/>
      <c r="APW10" s="11"/>
      <c r="APX10" s="11"/>
      <c r="APY10" s="11"/>
      <c r="APZ10" s="11"/>
      <c r="AQA10" s="11"/>
      <c r="AQB10" s="11"/>
      <c r="AQC10" s="11"/>
      <c r="AQD10" s="11"/>
      <c r="AQE10" s="11"/>
      <c r="AQF10" s="11"/>
      <c r="AQG10" s="11"/>
      <c r="AQH10" s="11"/>
      <c r="AQI10" s="11"/>
      <c r="AQJ10" s="11"/>
      <c r="AQK10" s="11"/>
      <c r="AQL10" s="11"/>
      <c r="AQM10" s="11"/>
      <c r="AQN10" s="11"/>
      <c r="AQO10" s="11"/>
      <c r="AQP10" s="11"/>
      <c r="AQQ10" s="11"/>
      <c r="AQR10" s="11"/>
      <c r="AQS10" s="11"/>
      <c r="AQT10" s="11"/>
      <c r="AQU10" s="11"/>
      <c r="AQV10" s="11"/>
      <c r="AQW10" s="11"/>
      <c r="AQX10" s="11"/>
      <c r="AQY10" s="11"/>
      <c r="AQZ10" s="11"/>
      <c r="ARA10" s="11"/>
      <c r="ARB10" s="11"/>
      <c r="ARC10" s="11"/>
      <c r="ARD10" s="11"/>
      <c r="ARE10" s="11"/>
      <c r="ARF10" s="11"/>
      <c r="ARG10" s="11"/>
      <c r="ARH10" s="11"/>
      <c r="ARI10" s="11"/>
      <c r="ARJ10" s="11"/>
      <c r="ARK10" s="11"/>
      <c r="ARL10" s="11"/>
      <c r="ARM10" s="11"/>
      <c r="ARN10" s="11"/>
      <c r="ARO10" s="11"/>
      <c r="ARP10" s="11"/>
      <c r="ARQ10" s="11"/>
      <c r="ARR10" s="11"/>
      <c r="ARS10" s="11"/>
      <c r="ART10" s="11"/>
      <c r="ARU10" s="11"/>
      <c r="ARV10" s="11"/>
      <c r="ARW10" s="11"/>
      <c r="ARX10" s="11"/>
      <c r="ARY10" s="11"/>
      <c r="ARZ10" s="11"/>
      <c r="ASA10" s="11"/>
      <c r="ASB10" s="11"/>
      <c r="ASC10" s="11"/>
      <c r="ASD10" s="11"/>
      <c r="ASE10" s="11"/>
      <c r="ASF10" s="11"/>
      <c r="ASG10" s="11"/>
      <c r="ASH10" s="11"/>
      <c r="ASI10" s="11"/>
      <c r="ASJ10" s="11"/>
      <c r="ASK10" s="11"/>
      <c r="ASL10" s="11"/>
      <c r="ASM10" s="11"/>
      <c r="ASN10" s="11"/>
      <c r="ASO10" s="11"/>
      <c r="ASP10" s="11"/>
      <c r="ASQ10" s="11"/>
      <c r="ASR10" s="11"/>
      <c r="ASS10" s="11"/>
      <c r="AST10" s="11"/>
      <c r="ASU10" s="11"/>
      <c r="ASV10" s="11"/>
      <c r="ASW10" s="11"/>
      <c r="ASX10" s="11"/>
      <c r="ASY10" s="11"/>
      <c r="ASZ10" s="11"/>
      <c r="ATA10" s="11"/>
      <c r="ATB10" s="11"/>
      <c r="ATC10" s="11"/>
      <c r="ATD10" s="11"/>
      <c r="ATE10" s="11"/>
      <c r="ATF10" s="11"/>
      <c r="ATG10" s="11"/>
      <c r="ATH10" s="11"/>
      <c r="ATI10" s="11"/>
      <c r="ATJ10" s="11"/>
      <c r="ATK10" s="11"/>
      <c r="ATL10" s="11"/>
      <c r="ATM10" s="11"/>
      <c r="ATN10" s="11"/>
      <c r="ATO10" s="11"/>
      <c r="ATP10" s="11"/>
      <c r="ATQ10" s="11"/>
      <c r="ATR10" s="11"/>
      <c r="ATS10" s="11"/>
      <c r="ATT10" s="11"/>
      <c r="ATU10" s="11"/>
      <c r="ATV10" s="11"/>
      <c r="ATW10" s="11"/>
      <c r="ATX10" s="11"/>
      <c r="ATY10" s="11"/>
      <c r="ATZ10" s="11"/>
      <c r="AUA10" s="11"/>
      <c r="AUB10" s="11"/>
      <c r="AUC10" s="11"/>
      <c r="AUD10" s="11"/>
      <c r="AUE10" s="11"/>
      <c r="AUF10" s="11"/>
      <c r="AUG10" s="11"/>
      <c r="AUH10" s="11"/>
      <c r="AUI10" s="11"/>
      <c r="AUJ10" s="11"/>
      <c r="AUK10" s="11"/>
      <c r="AUL10" s="11"/>
      <c r="AUM10" s="11"/>
      <c r="AUN10" s="11"/>
      <c r="AUO10" s="11"/>
      <c r="AUP10" s="11"/>
      <c r="AUQ10" s="11"/>
      <c r="AUR10" s="11"/>
      <c r="AUS10" s="11"/>
      <c r="AUT10" s="11"/>
      <c r="AUU10" s="11"/>
      <c r="AUV10" s="11"/>
      <c r="AUW10" s="11"/>
      <c r="AUX10" s="11"/>
      <c r="AUY10" s="11"/>
      <c r="AUZ10" s="11"/>
      <c r="AVA10" s="11"/>
      <c r="AVB10" s="11"/>
      <c r="AVC10" s="11"/>
      <c r="AVD10" s="11"/>
      <c r="AVE10" s="11"/>
      <c r="AVF10" s="11"/>
      <c r="AVG10" s="11"/>
      <c r="AVH10" s="11"/>
      <c r="AVI10" s="11"/>
      <c r="AVJ10" s="11"/>
      <c r="AVK10" s="11"/>
      <c r="AVL10" s="11"/>
      <c r="AVM10" s="11"/>
      <c r="AVN10" s="11"/>
      <c r="AVO10" s="11"/>
      <c r="AVP10" s="11"/>
      <c r="AVQ10" s="11"/>
      <c r="AVR10" s="11"/>
      <c r="AVS10" s="11"/>
      <c r="AVT10" s="11"/>
      <c r="AVU10" s="11"/>
      <c r="AVV10" s="11"/>
      <c r="AVW10" s="11"/>
      <c r="AVX10" s="11"/>
      <c r="AVY10" s="11"/>
      <c r="AVZ10" s="11"/>
      <c r="AWA10" s="11"/>
      <c r="AWB10" s="11"/>
      <c r="AWC10" s="11"/>
      <c r="AWD10" s="11"/>
      <c r="AWE10" s="11"/>
      <c r="AWF10" s="11"/>
      <c r="AWG10" s="11"/>
      <c r="AWH10" s="11"/>
      <c r="AWI10" s="11"/>
      <c r="AWJ10" s="11"/>
      <c r="AWK10" s="11"/>
      <c r="AWL10" s="11"/>
      <c r="AWM10" s="11"/>
      <c r="AWN10" s="11"/>
      <c r="AWO10" s="11"/>
      <c r="AWP10" s="11"/>
      <c r="AWQ10" s="11"/>
      <c r="AWR10" s="11"/>
      <c r="AWS10" s="11"/>
      <c r="AWT10" s="11"/>
      <c r="AWU10" s="11"/>
      <c r="AWV10" s="11"/>
      <c r="AWW10" s="11"/>
      <c r="AWX10" s="11"/>
      <c r="AWY10" s="11"/>
      <c r="AWZ10" s="11"/>
      <c r="AXA10" s="11"/>
      <c r="AXB10" s="11"/>
      <c r="AXC10" s="11"/>
      <c r="AXD10" s="11"/>
      <c r="AXE10" s="11"/>
      <c r="AXF10" s="11"/>
      <c r="AXG10" s="11"/>
      <c r="AXH10" s="11"/>
      <c r="AXI10" s="11"/>
      <c r="AXJ10" s="11"/>
      <c r="AXK10" s="11"/>
      <c r="AXL10" s="11"/>
      <c r="AXM10" s="11"/>
      <c r="AXN10" s="11"/>
      <c r="AXO10" s="11"/>
      <c r="AXP10" s="11"/>
      <c r="AXQ10" s="11"/>
      <c r="AXR10" s="11"/>
      <c r="AXS10" s="11"/>
      <c r="AXT10" s="11"/>
      <c r="AXU10" s="11"/>
      <c r="AXV10" s="11"/>
      <c r="AXW10" s="11"/>
      <c r="AXX10" s="11"/>
      <c r="AXY10" s="11"/>
      <c r="AXZ10" s="11"/>
      <c r="AYA10" s="11"/>
      <c r="AYB10" s="11"/>
      <c r="AYC10" s="11"/>
      <c r="AYD10" s="11"/>
      <c r="AYE10" s="11"/>
      <c r="AYF10" s="11"/>
      <c r="AYG10" s="11"/>
      <c r="AYH10" s="11"/>
      <c r="AYI10" s="11"/>
      <c r="AYJ10" s="11"/>
      <c r="AYK10" s="11"/>
      <c r="AYL10" s="11"/>
      <c r="AYM10" s="11"/>
      <c r="AYN10" s="11"/>
      <c r="AYO10" s="11"/>
      <c r="AYP10" s="11"/>
      <c r="AYQ10" s="11"/>
      <c r="AYR10" s="11"/>
      <c r="AYS10" s="11"/>
      <c r="AYT10" s="11"/>
      <c r="AYU10" s="11"/>
      <c r="AYV10" s="11"/>
      <c r="AYW10" s="11"/>
      <c r="AYX10" s="11"/>
      <c r="AYY10" s="11"/>
      <c r="AYZ10" s="11"/>
      <c r="AZA10" s="11"/>
      <c r="AZB10" s="11"/>
      <c r="AZC10" s="11"/>
      <c r="AZD10" s="11"/>
      <c r="AZE10" s="11"/>
      <c r="AZF10" s="11"/>
      <c r="AZG10" s="11"/>
      <c r="AZH10" s="11"/>
      <c r="AZI10" s="11"/>
      <c r="AZJ10" s="11"/>
      <c r="AZK10" s="11"/>
      <c r="AZL10" s="11"/>
      <c r="AZM10" s="11"/>
      <c r="AZN10" s="11"/>
      <c r="AZO10" s="11"/>
      <c r="AZP10" s="11"/>
      <c r="AZQ10" s="11"/>
      <c r="AZR10" s="11"/>
      <c r="AZS10" s="11"/>
      <c r="AZT10" s="11"/>
      <c r="AZU10" s="11"/>
      <c r="AZV10" s="11"/>
      <c r="AZW10" s="11"/>
      <c r="AZX10" s="11"/>
      <c r="AZY10" s="11"/>
      <c r="AZZ10" s="11"/>
      <c r="BAA10" s="11"/>
      <c r="BAB10" s="11"/>
      <c r="BAC10" s="11"/>
      <c r="BAD10" s="11"/>
      <c r="BAE10" s="11"/>
      <c r="BAF10" s="11"/>
      <c r="BAG10" s="11"/>
      <c r="BAH10" s="11"/>
      <c r="BAI10" s="11"/>
      <c r="BAJ10" s="11"/>
      <c r="BAK10" s="11"/>
      <c r="BAL10" s="11"/>
      <c r="BAM10" s="11"/>
      <c r="BAN10" s="11"/>
      <c r="BAO10" s="11"/>
      <c r="BAP10" s="11"/>
      <c r="BAQ10" s="11"/>
      <c r="BAR10" s="11"/>
      <c r="BAS10" s="11"/>
      <c r="BAT10" s="11"/>
      <c r="BAU10" s="11"/>
      <c r="BAV10" s="11"/>
      <c r="BAW10" s="11"/>
      <c r="BAX10" s="11"/>
      <c r="BAY10" s="11"/>
      <c r="BAZ10" s="11"/>
      <c r="BBA10" s="11"/>
      <c r="BBB10" s="11"/>
      <c r="BBC10" s="11"/>
      <c r="BBD10" s="11"/>
      <c r="BBE10" s="11"/>
      <c r="BBF10" s="11"/>
      <c r="BBG10" s="11"/>
      <c r="BBH10" s="11"/>
      <c r="BBI10" s="11"/>
      <c r="BBJ10" s="11"/>
      <c r="BBK10" s="11"/>
      <c r="BBL10" s="11"/>
      <c r="BBM10" s="11"/>
      <c r="BBN10" s="11"/>
      <c r="BBO10" s="11"/>
      <c r="BBP10" s="11"/>
      <c r="BBQ10" s="11"/>
      <c r="BBR10" s="11"/>
      <c r="BBS10" s="11"/>
      <c r="BBT10" s="11"/>
      <c r="BBU10" s="11"/>
      <c r="BBV10" s="11"/>
      <c r="BBW10" s="11"/>
      <c r="BBX10" s="11"/>
      <c r="BBY10" s="11"/>
      <c r="BBZ10" s="11"/>
      <c r="BCA10" s="11"/>
      <c r="BCB10" s="11"/>
      <c r="BCC10" s="11"/>
      <c r="BCD10" s="11"/>
      <c r="BCE10" s="11"/>
      <c r="BCF10" s="11"/>
      <c r="BCG10" s="11"/>
      <c r="BCH10" s="11"/>
      <c r="BCI10" s="11"/>
      <c r="BCJ10" s="11"/>
      <c r="BCK10" s="11"/>
      <c r="BCL10" s="11"/>
      <c r="BCM10" s="11"/>
      <c r="BCN10" s="11"/>
      <c r="BCO10" s="11"/>
      <c r="BCP10" s="11"/>
      <c r="BCQ10" s="11"/>
      <c r="BCR10" s="11"/>
      <c r="BCS10" s="11"/>
      <c r="BCT10" s="11"/>
      <c r="BCU10" s="11"/>
      <c r="BCV10" s="11"/>
      <c r="BCW10" s="11"/>
      <c r="BCX10" s="11"/>
      <c r="BCY10" s="11"/>
      <c r="BCZ10" s="11"/>
      <c r="BDA10" s="11"/>
      <c r="BDB10" s="11"/>
      <c r="BDC10" s="11"/>
      <c r="BDD10" s="11"/>
      <c r="BDE10" s="11"/>
      <c r="BDF10" s="11"/>
      <c r="BDG10" s="11"/>
      <c r="BDH10" s="11"/>
      <c r="BDI10" s="11"/>
      <c r="BDJ10" s="11"/>
      <c r="BDK10" s="11"/>
      <c r="BDL10" s="11"/>
      <c r="BDM10" s="11"/>
      <c r="BDN10" s="11"/>
      <c r="BDO10" s="11"/>
      <c r="BDP10" s="11"/>
      <c r="BDQ10" s="11"/>
      <c r="BDR10" s="11"/>
      <c r="BDS10" s="11"/>
      <c r="BDT10" s="11"/>
      <c r="BDU10" s="11"/>
      <c r="BDV10" s="11"/>
      <c r="BDW10" s="11"/>
      <c r="BDX10" s="11"/>
      <c r="BDY10" s="11"/>
      <c r="BDZ10" s="11"/>
      <c r="BEA10" s="11"/>
      <c r="BEB10" s="11"/>
      <c r="BEC10" s="11"/>
      <c r="BED10" s="11"/>
      <c r="BEE10" s="11"/>
      <c r="BEF10" s="11"/>
      <c r="BEG10" s="11"/>
      <c r="BEH10" s="11"/>
      <c r="BEI10" s="11"/>
      <c r="BEJ10" s="11"/>
      <c r="BEK10" s="11"/>
      <c r="BEL10" s="11"/>
      <c r="BEM10" s="11"/>
      <c r="BEN10" s="11"/>
      <c r="BEO10" s="11"/>
      <c r="BEP10" s="11"/>
      <c r="BEQ10" s="11"/>
      <c r="BER10" s="11"/>
      <c r="BES10" s="11"/>
      <c r="BET10" s="11"/>
      <c r="BEU10" s="11"/>
      <c r="BEV10" s="11"/>
      <c r="BEW10" s="11"/>
      <c r="BEX10" s="11"/>
      <c r="BEY10" s="11"/>
      <c r="BEZ10" s="11"/>
      <c r="BFA10" s="11"/>
      <c r="BFB10" s="11"/>
      <c r="BFC10" s="11"/>
      <c r="BFD10" s="11"/>
      <c r="BFE10" s="11"/>
      <c r="BFF10" s="11"/>
      <c r="BFG10" s="11"/>
      <c r="BFH10" s="11"/>
      <c r="BFI10" s="11"/>
      <c r="BFJ10" s="11"/>
      <c r="BFK10" s="11"/>
      <c r="BFL10" s="11"/>
      <c r="BFM10" s="11"/>
      <c r="BFN10" s="11"/>
      <c r="BFO10" s="11"/>
      <c r="BFP10" s="11"/>
      <c r="BFQ10" s="11"/>
      <c r="BFR10" s="11"/>
      <c r="BFS10" s="11"/>
      <c r="BFT10" s="11"/>
      <c r="BFU10" s="11"/>
      <c r="BFV10" s="11"/>
      <c r="BFW10" s="11"/>
      <c r="BFX10" s="11"/>
      <c r="BFY10" s="11"/>
      <c r="BFZ10" s="11"/>
      <c r="BGA10" s="11"/>
      <c r="BGB10" s="11"/>
      <c r="BGC10" s="11"/>
      <c r="BGD10" s="11"/>
      <c r="BGE10" s="11"/>
      <c r="BGF10" s="11"/>
      <c r="BGG10" s="11"/>
      <c r="BGH10" s="11"/>
      <c r="BGI10" s="11"/>
      <c r="BGJ10" s="11"/>
      <c r="BGK10" s="11"/>
      <c r="BGL10" s="11"/>
      <c r="BGM10" s="11"/>
      <c r="BGN10" s="11"/>
      <c r="BGO10" s="11"/>
      <c r="BGP10" s="11"/>
      <c r="BGQ10" s="11"/>
      <c r="BGR10" s="11"/>
      <c r="BGS10" s="11"/>
      <c r="BGT10" s="11"/>
      <c r="BGU10" s="11"/>
      <c r="BGV10" s="11"/>
      <c r="BGW10" s="11"/>
      <c r="BGX10" s="11"/>
      <c r="BGY10" s="11"/>
      <c r="BGZ10" s="11"/>
      <c r="BHA10" s="11"/>
      <c r="BHB10" s="11"/>
      <c r="BHC10" s="11"/>
      <c r="BHD10" s="11"/>
      <c r="BHE10" s="11"/>
      <c r="BHF10" s="11"/>
      <c r="BHG10" s="11"/>
      <c r="BHH10" s="11"/>
      <c r="BHI10" s="11"/>
      <c r="BHJ10" s="11"/>
      <c r="BHK10" s="11"/>
      <c r="BHL10" s="11"/>
      <c r="BHM10" s="11"/>
      <c r="BHN10" s="11"/>
      <c r="BHO10" s="11"/>
      <c r="BHP10" s="11"/>
      <c r="BHQ10" s="11"/>
      <c r="BHR10" s="11"/>
      <c r="BHS10" s="11"/>
      <c r="BHT10" s="11"/>
      <c r="BHU10" s="11"/>
      <c r="BHV10" s="11"/>
      <c r="BHW10" s="11"/>
      <c r="BHX10" s="11"/>
      <c r="BHY10" s="11"/>
      <c r="BHZ10" s="11"/>
      <c r="BIA10" s="11"/>
      <c r="BIB10" s="11"/>
      <c r="BIC10" s="11"/>
      <c r="BID10" s="11"/>
      <c r="BIE10" s="11"/>
      <c r="BIF10" s="11"/>
      <c r="BIG10" s="11"/>
      <c r="BIH10" s="11"/>
      <c r="BII10" s="11"/>
      <c r="BIJ10" s="11"/>
      <c r="BIK10" s="11"/>
      <c r="BIL10" s="11"/>
      <c r="BIM10" s="11"/>
      <c r="BIN10" s="11"/>
      <c r="BIO10" s="11"/>
      <c r="BIP10" s="11"/>
      <c r="BIQ10" s="11"/>
      <c r="BIR10" s="11"/>
      <c r="BIS10" s="11"/>
      <c r="BIT10" s="11"/>
      <c r="BIU10" s="11"/>
      <c r="BIV10" s="11"/>
      <c r="BIW10" s="11"/>
      <c r="BIX10" s="11"/>
      <c r="BIY10" s="11"/>
      <c r="BIZ10" s="11"/>
      <c r="BJA10" s="11"/>
      <c r="BJB10" s="11"/>
      <c r="BJC10" s="11"/>
      <c r="BJD10" s="11"/>
      <c r="BJE10" s="11"/>
      <c r="BJF10" s="11"/>
      <c r="BJG10" s="11"/>
      <c r="BJH10" s="11"/>
      <c r="BJI10" s="11"/>
      <c r="BJJ10" s="11"/>
      <c r="BJK10" s="11"/>
      <c r="BJL10" s="11"/>
      <c r="BJM10" s="11"/>
      <c r="BJN10" s="11"/>
      <c r="BJO10" s="11"/>
      <c r="BJP10" s="11"/>
      <c r="BJQ10" s="11"/>
      <c r="BJR10" s="11"/>
      <c r="BJS10" s="11"/>
      <c r="BJT10" s="11"/>
      <c r="BJU10" s="11"/>
      <c r="BJV10" s="11"/>
      <c r="BJW10" s="11"/>
      <c r="BJX10" s="11"/>
      <c r="BJY10" s="11"/>
      <c r="BJZ10" s="11"/>
      <c r="BKA10" s="11"/>
      <c r="BKB10" s="11"/>
      <c r="BKC10" s="11"/>
      <c r="BKD10" s="11"/>
      <c r="BKE10" s="11"/>
      <c r="BKF10" s="11"/>
      <c r="BKG10" s="11"/>
      <c r="BKH10" s="11"/>
      <c r="BKI10" s="11"/>
      <c r="BKJ10" s="11"/>
      <c r="BKK10" s="11"/>
      <c r="BKL10" s="11"/>
      <c r="BKM10" s="11"/>
      <c r="BKN10" s="11"/>
      <c r="BKO10" s="11"/>
      <c r="BKP10" s="11"/>
      <c r="BKQ10" s="11"/>
      <c r="BKR10" s="11"/>
      <c r="BKS10" s="11"/>
      <c r="BKT10" s="11"/>
      <c r="BKU10" s="11"/>
      <c r="BKV10" s="11"/>
      <c r="BKW10" s="11"/>
      <c r="BKX10" s="11"/>
      <c r="BKY10" s="11"/>
      <c r="BKZ10" s="11"/>
      <c r="BLA10" s="11"/>
      <c r="BLB10" s="11"/>
      <c r="BLC10" s="11"/>
      <c r="BLD10" s="11"/>
      <c r="BLE10" s="11"/>
      <c r="BLF10" s="11"/>
      <c r="BLG10" s="11"/>
      <c r="BLH10" s="11"/>
      <c r="BLI10" s="11"/>
      <c r="BLJ10" s="11"/>
      <c r="BLK10" s="11"/>
      <c r="BLL10" s="11"/>
      <c r="BLM10" s="11"/>
      <c r="BLN10" s="11"/>
      <c r="BLO10" s="11"/>
      <c r="BLP10" s="11"/>
      <c r="BLQ10" s="11"/>
      <c r="BLR10" s="11"/>
      <c r="BLS10" s="11"/>
      <c r="BLT10" s="11"/>
      <c r="BLU10" s="11"/>
      <c r="BLV10" s="11"/>
      <c r="BLW10" s="11"/>
      <c r="BLX10" s="11"/>
      <c r="BLY10" s="11"/>
      <c r="BLZ10" s="11"/>
      <c r="BMA10" s="11"/>
      <c r="BMB10" s="11"/>
      <c r="BMC10" s="11"/>
      <c r="BMD10" s="11"/>
      <c r="BME10" s="11"/>
      <c r="BMF10" s="11"/>
      <c r="BMG10" s="11"/>
      <c r="BMH10" s="11"/>
      <c r="BMI10" s="11"/>
      <c r="BMJ10" s="11"/>
      <c r="BMK10" s="11"/>
      <c r="BML10" s="11"/>
      <c r="BMM10" s="11"/>
      <c r="BMN10" s="11"/>
      <c r="BMO10" s="11"/>
      <c r="BMP10" s="11"/>
      <c r="BMQ10" s="11"/>
      <c r="BMR10" s="11"/>
      <c r="BMS10" s="11"/>
      <c r="BMT10" s="11"/>
      <c r="BMU10" s="11"/>
      <c r="BMV10" s="11"/>
      <c r="BMW10" s="11"/>
      <c r="BMX10" s="11"/>
      <c r="BMY10" s="11"/>
      <c r="BMZ10" s="11"/>
      <c r="BNA10" s="11"/>
      <c r="BNB10" s="11"/>
      <c r="BNC10" s="11"/>
      <c r="BND10" s="11"/>
      <c r="BNE10" s="11"/>
      <c r="BNF10" s="11"/>
      <c r="BNG10" s="11"/>
      <c r="BNH10" s="11"/>
      <c r="BNI10" s="11"/>
      <c r="BNJ10" s="11"/>
      <c r="BNK10" s="11"/>
      <c r="BNL10" s="11"/>
      <c r="BNM10" s="11"/>
      <c r="BNN10" s="11"/>
      <c r="BNO10" s="11"/>
      <c r="BNP10" s="11"/>
      <c r="BNQ10" s="11"/>
      <c r="BNR10" s="11"/>
      <c r="BNS10" s="11"/>
      <c r="BNT10" s="11"/>
      <c r="BNU10" s="11"/>
      <c r="BNV10" s="11"/>
      <c r="BNW10" s="11"/>
      <c r="BNX10" s="11"/>
      <c r="BNY10" s="11"/>
      <c r="BNZ10" s="11"/>
      <c r="BOA10" s="11"/>
      <c r="BOB10" s="11"/>
      <c r="BOC10" s="11"/>
      <c r="BOD10" s="11"/>
      <c r="BOE10" s="11"/>
      <c r="BOF10" s="11"/>
      <c r="BOG10" s="11"/>
      <c r="BOH10" s="11"/>
      <c r="BOI10" s="11"/>
      <c r="BOJ10" s="11"/>
      <c r="BOK10" s="11"/>
      <c r="BOL10" s="11"/>
      <c r="BOM10" s="11"/>
      <c r="BON10" s="11"/>
      <c r="BOO10" s="11"/>
      <c r="BOP10" s="11"/>
      <c r="BOQ10" s="11"/>
      <c r="BOR10" s="11"/>
      <c r="BOS10" s="11"/>
      <c r="BOT10" s="11"/>
      <c r="BOU10" s="11"/>
      <c r="BOV10" s="11"/>
      <c r="BOW10" s="11"/>
      <c r="BOX10" s="11"/>
      <c r="BOY10" s="11"/>
      <c r="BOZ10" s="11"/>
      <c r="BPA10" s="11"/>
      <c r="BPB10" s="11"/>
      <c r="BPC10" s="11"/>
      <c r="BPD10" s="11"/>
      <c r="BPE10" s="11"/>
      <c r="BPF10" s="11"/>
      <c r="BPG10" s="11"/>
      <c r="BPH10" s="11"/>
      <c r="BPI10" s="11"/>
      <c r="BPJ10" s="11"/>
      <c r="BPK10" s="11"/>
      <c r="BPL10" s="11"/>
      <c r="BPM10" s="11"/>
      <c r="BPN10" s="11"/>
      <c r="BPO10" s="11"/>
      <c r="BPP10" s="11"/>
      <c r="BPQ10" s="11"/>
      <c r="BPR10" s="11"/>
      <c r="BPS10" s="11"/>
      <c r="BPT10" s="11"/>
      <c r="BPU10" s="11"/>
      <c r="BPV10" s="11"/>
      <c r="BPW10" s="11"/>
      <c r="BPX10" s="11"/>
      <c r="BPY10" s="11"/>
      <c r="BPZ10" s="11"/>
      <c r="BQA10" s="11"/>
      <c r="BQB10" s="11"/>
      <c r="BQC10" s="11"/>
      <c r="BQD10" s="11"/>
      <c r="BQE10" s="11"/>
      <c r="BQF10" s="11"/>
      <c r="BQG10" s="11"/>
      <c r="BQH10" s="11"/>
      <c r="BQI10" s="11"/>
      <c r="BQJ10" s="11"/>
      <c r="BQK10" s="11"/>
      <c r="BQL10" s="11"/>
      <c r="BQM10" s="11"/>
      <c r="BQN10" s="11"/>
      <c r="BQO10" s="11"/>
      <c r="BQP10" s="11"/>
      <c r="BQQ10" s="11"/>
      <c r="BQR10" s="11"/>
      <c r="BQS10" s="11"/>
      <c r="BQT10" s="11"/>
      <c r="BQU10" s="11"/>
      <c r="BQV10" s="11"/>
      <c r="BQW10" s="11"/>
      <c r="BQX10" s="11"/>
      <c r="BQY10" s="11"/>
      <c r="BQZ10" s="11"/>
      <c r="BRA10" s="11"/>
      <c r="BRB10" s="11"/>
      <c r="BRC10" s="11"/>
      <c r="BRD10" s="11"/>
      <c r="BRE10" s="11"/>
      <c r="BRF10" s="11"/>
      <c r="BRG10" s="11"/>
      <c r="BRH10" s="11"/>
      <c r="BRI10" s="11"/>
      <c r="BRJ10" s="11"/>
      <c r="BRK10" s="11"/>
      <c r="BRL10" s="11"/>
      <c r="BRM10" s="11"/>
      <c r="BRN10" s="11"/>
      <c r="BRO10" s="11"/>
      <c r="BRP10" s="11"/>
      <c r="BRQ10" s="11"/>
      <c r="BRR10" s="11"/>
      <c r="BRS10" s="11"/>
      <c r="BRT10" s="11"/>
      <c r="BRU10" s="11"/>
      <c r="BRV10" s="11"/>
      <c r="BRW10" s="11"/>
      <c r="BRX10" s="11"/>
      <c r="BRY10" s="11"/>
      <c r="BRZ10" s="11"/>
      <c r="BSA10" s="11"/>
      <c r="BSB10" s="11"/>
      <c r="BSC10" s="11"/>
      <c r="BSD10" s="11"/>
    </row>
    <row r="11" spans="1:1850" s="12" customFormat="1" ht="20.100000000000001" customHeight="1">
      <c r="A11" s="80" t="s">
        <v>18</v>
      </c>
      <c r="B11" s="81"/>
      <c r="C11" s="82">
        <v>41523</v>
      </c>
      <c r="D11" s="83">
        <v>41532</v>
      </c>
      <c r="E11" s="84" t="str">
        <f t="shared" si="0"/>
        <v>10 days</v>
      </c>
      <c r="F11" s="13"/>
      <c r="G11" s="14"/>
      <c r="H11" s="14"/>
      <c r="I11" s="14"/>
      <c r="J11" s="14"/>
      <c r="K11" s="19"/>
      <c r="L11" s="20"/>
      <c r="M11" s="20"/>
      <c r="N11" s="20"/>
      <c r="O11" s="20"/>
      <c r="P11" s="20"/>
      <c r="Q11" s="20"/>
      <c r="R11" s="20"/>
      <c r="S11" s="20"/>
      <c r="T11" s="20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7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  <c r="XY11" s="11"/>
      <c r="XZ11" s="11"/>
      <c r="YA11" s="11"/>
      <c r="YB11" s="11"/>
      <c r="YC11" s="11"/>
      <c r="YD11" s="11"/>
      <c r="YE11" s="11"/>
      <c r="YF11" s="11"/>
      <c r="YG11" s="11"/>
      <c r="YH11" s="11"/>
      <c r="YI11" s="11"/>
      <c r="YJ11" s="11"/>
      <c r="YK11" s="11"/>
      <c r="YL11" s="11"/>
      <c r="YM11" s="11"/>
      <c r="YN11" s="11"/>
      <c r="YO11" s="11"/>
      <c r="YP11" s="11"/>
      <c r="YQ11" s="11"/>
      <c r="YR11" s="11"/>
      <c r="YS11" s="11"/>
      <c r="YT11" s="11"/>
      <c r="YU11" s="11"/>
      <c r="YV11" s="11"/>
      <c r="YW11" s="11"/>
      <c r="YX11" s="11"/>
      <c r="YY11" s="11"/>
      <c r="YZ11" s="11"/>
      <c r="ZA11" s="11"/>
      <c r="ZB11" s="11"/>
      <c r="ZC11" s="11"/>
      <c r="ZD11" s="11"/>
      <c r="ZE11" s="11"/>
      <c r="ZF11" s="11"/>
      <c r="ZG11" s="11"/>
      <c r="ZH11" s="11"/>
      <c r="ZI11" s="11"/>
      <c r="ZJ11" s="11"/>
      <c r="ZK11" s="11"/>
      <c r="ZL11" s="11"/>
      <c r="ZM11" s="11"/>
      <c r="ZN11" s="11"/>
      <c r="ZO11" s="11"/>
      <c r="ZP11" s="11"/>
      <c r="ZQ11" s="11"/>
      <c r="ZR11" s="11"/>
      <c r="ZS11" s="11"/>
      <c r="ZT11" s="11"/>
      <c r="ZU11" s="11"/>
      <c r="ZV11" s="11"/>
      <c r="ZW11" s="11"/>
      <c r="ZX11" s="11"/>
      <c r="ZY11" s="11"/>
      <c r="ZZ11" s="11"/>
      <c r="AAA11" s="11"/>
      <c r="AAB11" s="11"/>
      <c r="AAC11" s="11"/>
      <c r="AAD11" s="11"/>
      <c r="AAE11" s="11"/>
      <c r="AAF11" s="11"/>
      <c r="AAG11" s="11"/>
      <c r="AAH11" s="11"/>
      <c r="AAI11" s="11"/>
      <c r="AAJ11" s="11"/>
      <c r="AAK11" s="11"/>
      <c r="AAL11" s="11"/>
      <c r="AAM11" s="11"/>
      <c r="AAN11" s="11"/>
      <c r="AAO11" s="11"/>
      <c r="AAP11" s="11"/>
      <c r="AAQ11" s="11"/>
      <c r="AAR11" s="11"/>
      <c r="AAS11" s="11"/>
      <c r="AAT11" s="11"/>
      <c r="AAU11" s="11"/>
      <c r="AAV11" s="11"/>
      <c r="AAW11" s="11"/>
      <c r="AAX11" s="11"/>
      <c r="AAY11" s="11"/>
      <c r="AAZ11" s="11"/>
      <c r="ABA11" s="11"/>
      <c r="ABB11" s="11"/>
      <c r="ABC11" s="11"/>
      <c r="ABD11" s="11"/>
      <c r="ABE11" s="11"/>
      <c r="ABF11" s="11"/>
      <c r="ABG11" s="11"/>
      <c r="ABH11" s="11"/>
      <c r="ABI11" s="11"/>
      <c r="ABJ11" s="11"/>
      <c r="ABK11" s="11"/>
      <c r="ABL11" s="11"/>
      <c r="ABM11" s="11"/>
      <c r="ABN11" s="11"/>
      <c r="ABO11" s="11"/>
      <c r="ABP11" s="11"/>
      <c r="ABQ11" s="11"/>
      <c r="ABR11" s="11"/>
      <c r="ABS11" s="11"/>
      <c r="ABT11" s="11"/>
      <c r="ABU11" s="11"/>
      <c r="ABV11" s="11"/>
      <c r="ABW11" s="11"/>
      <c r="ABX11" s="11"/>
      <c r="ABY11" s="11"/>
      <c r="ABZ11" s="11"/>
      <c r="ACA11" s="11"/>
      <c r="ACB11" s="11"/>
      <c r="ACC11" s="11"/>
      <c r="ACD11" s="11"/>
      <c r="ACE11" s="11"/>
      <c r="ACF11" s="11"/>
      <c r="ACG11" s="11"/>
      <c r="ACH11" s="11"/>
      <c r="ACI11" s="11"/>
      <c r="ACJ11" s="11"/>
      <c r="ACK11" s="11"/>
      <c r="ACL11" s="11"/>
      <c r="ACM11" s="11"/>
      <c r="ACN11" s="11"/>
      <c r="ACO11" s="11"/>
      <c r="ACP11" s="11"/>
      <c r="ACQ11" s="11"/>
      <c r="ACR11" s="11"/>
      <c r="ACS11" s="11"/>
      <c r="ACT11" s="11"/>
      <c r="ACU11" s="11"/>
      <c r="ACV11" s="11"/>
      <c r="ACW11" s="11"/>
      <c r="ACX11" s="11"/>
      <c r="ACY11" s="11"/>
      <c r="ACZ11" s="11"/>
      <c r="ADA11" s="11"/>
      <c r="ADB11" s="11"/>
      <c r="ADC11" s="11"/>
      <c r="ADD11" s="11"/>
      <c r="ADE11" s="11"/>
      <c r="ADF11" s="11"/>
      <c r="ADG11" s="11"/>
      <c r="ADH11" s="11"/>
      <c r="ADI11" s="11"/>
      <c r="ADJ11" s="11"/>
      <c r="ADK11" s="11"/>
      <c r="ADL11" s="11"/>
      <c r="ADM11" s="11"/>
      <c r="ADN11" s="11"/>
      <c r="ADO11" s="11"/>
      <c r="ADP11" s="11"/>
      <c r="ADQ11" s="11"/>
      <c r="ADR11" s="11"/>
      <c r="ADS11" s="11"/>
      <c r="ADT11" s="11"/>
      <c r="ADU11" s="11"/>
      <c r="ADV11" s="11"/>
      <c r="ADW11" s="11"/>
      <c r="ADX11" s="11"/>
      <c r="ADY11" s="11"/>
      <c r="ADZ11" s="11"/>
      <c r="AEA11" s="11"/>
      <c r="AEB11" s="11"/>
      <c r="AEC11" s="11"/>
      <c r="AED11" s="11"/>
      <c r="AEE11" s="11"/>
      <c r="AEF11" s="11"/>
      <c r="AEG11" s="11"/>
      <c r="AEH11" s="11"/>
      <c r="AEI11" s="11"/>
      <c r="AEJ11" s="11"/>
      <c r="AEK11" s="11"/>
      <c r="AEL11" s="11"/>
      <c r="AEM11" s="11"/>
      <c r="AEN11" s="11"/>
      <c r="AEO11" s="11"/>
      <c r="AEP11" s="11"/>
      <c r="AEQ11" s="11"/>
      <c r="AER11" s="11"/>
      <c r="AES11" s="11"/>
      <c r="AET11" s="11"/>
      <c r="AEU11" s="11"/>
      <c r="AEV11" s="11"/>
      <c r="AEW11" s="11"/>
      <c r="AEX11" s="11"/>
      <c r="AEY11" s="11"/>
      <c r="AEZ11" s="11"/>
      <c r="AFA11" s="11"/>
      <c r="AFB11" s="11"/>
      <c r="AFC11" s="11"/>
      <c r="AFD11" s="11"/>
      <c r="AFE11" s="11"/>
      <c r="AFF11" s="11"/>
      <c r="AFG11" s="11"/>
      <c r="AFH11" s="11"/>
      <c r="AFI11" s="11"/>
      <c r="AFJ11" s="11"/>
      <c r="AFK11" s="11"/>
      <c r="AFL11" s="11"/>
      <c r="AFM11" s="11"/>
      <c r="AFN11" s="11"/>
      <c r="AFO11" s="11"/>
      <c r="AFP11" s="11"/>
      <c r="AFQ11" s="11"/>
      <c r="AFR11" s="11"/>
      <c r="AFS11" s="11"/>
      <c r="AFT11" s="11"/>
      <c r="AFU11" s="11"/>
      <c r="AFV11" s="11"/>
      <c r="AFW11" s="11"/>
      <c r="AFX11" s="11"/>
      <c r="AFY11" s="11"/>
      <c r="AFZ11" s="11"/>
      <c r="AGA11" s="11"/>
      <c r="AGB11" s="11"/>
      <c r="AGC11" s="11"/>
      <c r="AGD11" s="11"/>
      <c r="AGE11" s="11"/>
      <c r="AGF11" s="11"/>
      <c r="AGG11" s="11"/>
      <c r="AGH11" s="11"/>
      <c r="AGI11" s="11"/>
      <c r="AGJ11" s="11"/>
      <c r="AGK11" s="11"/>
      <c r="AGL11" s="11"/>
      <c r="AGM11" s="11"/>
      <c r="AGN11" s="11"/>
      <c r="AGO11" s="11"/>
      <c r="AGP11" s="11"/>
      <c r="AGQ11" s="11"/>
      <c r="AGR11" s="11"/>
      <c r="AGS11" s="11"/>
      <c r="AGT11" s="11"/>
      <c r="AGU11" s="11"/>
      <c r="AGV11" s="11"/>
      <c r="AGW11" s="11"/>
      <c r="AGX11" s="11"/>
      <c r="AGY11" s="11"/>
      <c r="AGZ11" s="11"/>
      <c r="AHA11" s="11"/>
      <c r="AHB11" s="11"/>
      <c r="AHC11" s="11"/>
      <c r="AHD11" s="11"/>
      <c r="AHE11" s="11"/>
      <c r="AHF11" s="11"/>
      <c r="AHG11" s="11"/>
      <c r="AHH11" s="11"/>
      <c r="AHI11" s="11"/>
      <c r="AHJ11" s="11"/>
      <c r="AHK11" s="11"/>
      <c r="AHL11" s="11"/>
      <c r="AHM11" s="11"/>
      <c r="AHN11" s="11"/>
      <c r="AHO11" s="11"/>
      <c r="AHP11" s="11"/>
      <c r="AHQ11" s="11"/>
      <c r="AHR11" s="11"/>
      <c r="AHS11" s="11"/>
      <c r="AHT11" s="11"/>
      <c r="AHU11" s="11"/>
      <c r="AHV11" s="11"/>
      <c r="AHW11" s="11"/>
      <c r="AHX11" s="11"/>
      <c r="AHY11" s="11"/>
      <c r="AHZ11" s="11"/>
      <c r="AIA11" s="11"/>
      <c r="AIB11" s="11"/>
      <c r="AIC11" s="11"/>
      <c r="AID11" s="11"/>
      <c r="AIE11" s="11"/>
      <c r="AIF11" s="11"/>
      <c r="AIG11" s="11"/>
      <c r="AIH11" s="11"/>
      <c r="AII11" s="11"/>
      <c r="AIJ11" s="11"/>
      <c r="AIK11" s="11"/>
      <c r="AIL11" s="11"/>
      <c r="AIM11" s="11"/>
      <c r="AIN11" s="11"/>
      <c r="AIO11" s="11"/>
      <c r="AIP11" s="11"/>
      <c r="AIQ11" s="11"/>
      <c r="AIR11" s="11"/>
      <c r="AIS11" s="11"/>
      <c r="AIT11" s="11"/>
      <c r="AIU11" s="11"/>
      <c r="AIV11" s="11"/>
      <c r="AIW11" s="11"/>
      <c r="AIX11" s="11"/>
      <c r="AIY11" s="11"/>
      <c r="AIZ11" s="11"/>
      <c r="AJA11" s="11"/>
      <c r="AJB11" s="11"/>
      <c r="AJC11" s="11"/>
      <c r="AJD11" s="11"/>
      <c r="AJE11" s="11"/>
      <c r="AJF11" s="11"/>
      <c r="AJG11" s="11"/>
      <c r="AJH11" s="11"/>
      <c r="AJI11" s="11"/>
      <c r="AJJ11" s="11"/>
      <c r="AJK11" s="11"/>
      <c r="AJL11" s="11"/>
      <c r="AJM11" s="11"/>
      <c r="AJN11" s="11"/>
      <c r="AJO11" s="11"/>
      <c r="AJP11" s="11"/>
      <c r="AJQ11" s="11"/>
      <c r="AJR11" s="11"/>
      <c r="AJS11" s="11"/>
      <c r="AJT11" s="11"/>
      <c r="AJU11" s="11"/>
      <c r="AJV11" s="11"/>
      <c r="AJW11" s="11"/>
      <c r="AJX11" s="11"/>
      <c r="AJY11" s="11"/>
      <c r="AJZ11" s="11"/>
      <c r="AKA11" s="11"/>
      <c r="AKB11" s="11"/>
      <c r="AKC11" s="11"/>
      <c r="AKD11" s="11"/>
      <c r="AKE11" s="11"/>
      <c r="AKF11" s="11"/>
      <c r="AKG11" s="11"/>
      <c r="AKH11" s="11"/>
      <c r="AKI11" s="11"/>
      <c r="AKJ11" s="11"/>
      <c r="AKK11" s="11"/>
      <c r="AKL11" s="11"/>
      <c r="AKM11" s="11"/>
      <c r="AKN11" s="11"/>
      <c r="AKO11" s="11"/>
      <c r="AKP11" s="11"/>
      <c r="AKQ11" s="11"/>
      <c r="AKR11" s="11"/>
      <c r="AKS11" s="11"/>
      <c r="AKT11" s="11"/>
      <c r="AKU11" s="11"/>
      <c r="AKV11" s="11"/>
      <c r="AKW11" s="11"/>
      <c r="AKX11" s="11"/>
      <c r="AKY11" s="11"/>
      <c r="AKZ11" s="11"/>
      <c r="ALA11" s="11"/>
      <c r="ALB11" s="11"/>
      <c r="ALC11" s="11"/>
      <c r="ALD11" s="11"/>
      <c r="ALE11" s="11"/>
      <c r="ALF11" s="11"/>
      <c r="ALG11" s="11"/>
      <c r="ALH11" s="11"/>
      <c r="ALI11" s="11"/>
      <c r="ALJ11" s="11"/>
      <c r="ALK11" s="11"/>
      <c r="ALL11" s="11"/>
      <c r="ALM11" s="11"/>
      <c r="ALN11" s="11"/>
      <c r="ALO11" s="11"/>
      <c r="ALP11" s="11"/>
      <c r="ALQ11" s="11"/>
      <c r="ALR11" s="11"/>
      <c r="ALS11" s="11"/>
      <c r="ALT11" s="11"/>
      <c r="ALU11" s="11"/>
      <c r="ALV11" s="11"/>
      <c r="ALW11" s="11"/>
      <c r="ALX11" s="11"/>
      <c r="ALY11" s="11"/>
      <c r="ALZ11" s="11"/>
      <c r="AMA11" s="11"/>
      <c r="AMB11" s="11"/>
      <c r="AMC11" s="11"/>
      <c r="AMD11" s="11"/>
      <c r="AME11" s="11"/>
      <c r="AMF11" s="11"/>
      <c r="AMG11" s="11"/>
      <c r="AMH11" s="11"/>
      <c r="AMI11" s="11"/>
      <c r="AMJ11" s="11"/>
      <c r="AMK11" s="11"/>
      <c r="AML11" s="11"/>
      <c r="AMM11" s="11"/>
      <c r="AMN11" s="11"/>
      <c r="AMO11" s="11"/>
      <c r="AMP11" s="11"/>
      <c r="AMQ11" s="11"/>
      <c r="AMR11" s="11"/>
      <c r="AMS11" s="11"/>
      <c r="AMT11" s="11"/>
      <c r="AMU11" s="11"/>
      <c r="AMV11" s="11"/>
      <c r="AMW11" s="11"/>
      <c r="AMX11" s="11"/>
      <c r="AMY11" s="11"/>
      <c r="AMZ11" s="11"/>
      <c r="ANA11" s="11"/>
      <c r="ANB11" s="11"/>
      <c r="ANC11" s="11"/>
      <c r="AND11" s="11"/>
      <c r="ANE11" s="11"/>
      <c r="ANF11" s="11"/>
      <c r="ANG11" s="11"/>
      <c r="ANH11" s="11"/>
      <c r="ANI11" s="11"/>
      <c r="ANJ11" s="11"/>
      <c r="ANK11" s="11"/>
      <c r="ANL11" s="11"/>
      <c r="ANM11" s="11"/>
      <c r="ANN11" s="11"/>
      <c r="ANO11" s="11"/>
      <c r="ANP11" s="11"/>
      <c r="ANQ11" s="11"/>
      <c r="ANR11" s="11"/>
      <c r="ANS11" s="11"/>
      <c r="ANT11" s="11"/>
      <c r="ANU11" s="11"/>
      <c r="ANV11" s="11"/>
      <c r="ANW11" s="11"/>
      <c r="ANX11" s="11"/>
      <c r="ANY11" s="11"/>
      <c r="ANZ11" s="11"/>
      <c r="AOA11" s="11"/>
      <c r="AOB11" s="11"/>
      <c r="AOC11" s="11"/>
      <c r="AOD11" s="11"/>
      <c r="AOE11" s="11"/>
      <c r="AOF11" s="11"/>
      <c r="AOG11" s="11"/>
      <c r="AOH11" s="11"/>
      <c r="AOI11" s="11"/>
      <c r="AOJ11" s="11"/>
      <c r="AOK11" s="11"/>
      <c r="AOL11" s="11"/>
      <c r="AOM11" s="11"/>
      <c r="AON11" s="11"/>
      <c r="AOO11" s="11"/>
      <c r="AOP11" s="11"/>
      <c r="AOQ11" s="11"/>
      <c r="AOR11" s="11"/>
      <c r="AOS11" s="11"/>
      <c r="AOT11" s="11"/>
      <c r="AOU11" s="11"/>
      <c r="AOV11" s="11"/>
      <c r="AOW11" s="11"/>
      <c r="AOX11" s="11"/>
      <c r="AOY11" s="11"/>
      <c r="AOZ11" s="11"/>
      <c r="APA11" s="11"/>
      <c r="APB11" s="11"/>
      <c r="APC11" s="11"/>
      <c r="APD11" s="11"/>
      <c r="APE11" s="11"/>
      <c r="APF11" s="11"/>
      <c r="APG11" s="11"/>
      <c r="APH11" s="11"/>
      <c r="API11" s="11"/>
      <c r="APJ11" s="11"/>
      <c r="APK11" s="11"/>
      <c r="APL11" s="11"/>
      <c r="APM11" s="11"/>
      <c r="APN11" s="11"/>
      <c r="APO11" s="11"/>
      <c r="APP11" s="11"/>
      <c r="APQ11" s="11"/>
      <c r="APR11" s="11"/>
      <c r="APS11" s="11"/>
      <c r="APT11" s="11"/>
      <c r="APU11" s="11"/>
      <c r="APV11" s="11"/>
      <c r="APW11" s="11"/>
      <c r="APX11" s="11"/>
      <c r="APY11" s="11"/>
      <c r="APZ11" s="11"/>
      <c r="AQA11" s="11"/>
      <c r="AQB11" s="11"/>
      <c r="AQC11" s="11"/>
      <c r="AQD11" s="11"/>
      <c r="AQE11" s="11"/>
      <c r="AQF11" s="11"/>
      <c r="AQG11" s="11"/>
      <c r="AQH11" s="11"/>
      <c r="AQI11" s="11"/>
      <c r="AQJ11" s="11"/>
      <c r="AQK11" s="11"/>
      <c r="AQL11" s="11"/>
      <c r="AQM11" s="11"/>
      <c r="AQN11" s="11"/>
      <c r="AQO11" s="11"/>
      <c r="AQP11" s="11"/>
      <c r="AQQ11" s="11"/>
      <c r="AQR11" s="11"/>
      <c r="AQS11" s="11"/>
      <c r="AQT11" s="11"/>
      <c r="AQU11" s="11"/>
      <c r="AQV11" s="11"/>
      <c r="AQW11" s="11"/>
      <c r="AQX11" s="11"/>
      <c r="AQY11" s="11"/>
      <c r="AQZ11" s="11"/>
      <c r="ARA11" s="11"/>
      <c r="ARB11" s="11"/>
      <c r="ARC11" s="11"/>
      <c r="ARD11" s="11"/>
      <c r="ARE11" s="11"/>
      <c r="ARF11" s="11"/>
      <c r="ARG11" s="11"/>
      <c r="ARH11" s="11"/>
      <c r="ARI11" s="11"/>
      <c r="ARJ11" s="11"/>
      <c r="ARK11" s="11"/>
      <c r="ARL11" s="11"/>
      <c r="ARM11" s="11"/>
      <c r="ARN11" s="11"/>
      <c r="ARO11" s="11"/>
      <c r="ARP11" s="11"/>
      <c r="ARQ11" s="11"/>
      <c r="ARR11" s="11"/>
      <c r="ARS11" s="11"/>
      <c r="ART11" s="11"/>
      <c r="ARU11" s="11"/>
      <c r="ARV11" s="11"/>
      <c r="ARW11" s="11"/>
      <c r="ARX11" s="11"/>
      <c r="ARY11" s="11"/>
      <c r="ARZ11" s="11"/>
      <c r="ASA11" s="11"/>
      <c r="ASB11" s="11"/>
      <c r="ASC11" s="11"/>
      <c r="ASD11" s="11"/>
      <c r="ASE11" s="11"/>
      <c r="ASF11" s="11"/>
      <c r="ASG11" s="11"/>
      <c r="ASH11" s="11"/>
      <c r="ASI11" s="11"/>
      <c r="ASJ11" s="11"/>
      <c r="ASK11" s="11"/>
      <c r="ASL11" s="11"/>
      <c r="ASM11" s="11"/>
      <c r="ASN11" s="11"/>
      <c r="ASO11" s="11"/>
      <c r="ASP11" s="11"/>
      <c r="ASQ11" s="11"/>
      <c r="ASR11" s="11"/>
      <c r="ASS11" s="11"/>
      <c r="AST11" s="11"/>
      <c r="ASU11" s="11"/>
      <c r="ASV11" s="11"/>
      <c r="ASW11" s="11"/>
      <c r="ASX11" s="11"/>
      <c r="ASY11" s="11"/>
      <c r="ASZ11" s="11"/>
      <c r="ATA11" s="11"/>
      <c r="ATB11" s="11"/>
      <c r="ATC11" s="11"/>
      <c r="ATD11" s="11"/>
      <c r="ATE11" s="11"/>
      <c r="ATF11" s="11"/>
      <c r="ATG11" s="11"/>
      <c r="ATH11" s="11"/>
      <c r="ATI11" s="11"/>
      <c r="ATJ11" s="11"/>
      <c r="ATK11" s="11"/>
      <c r="ATL11" s="11"/>
      <c r="ATM11" s="11"/>
      <c r="ATN11" s="11"/>
      <c r="ATO11" s="11"/>
      <c r="ATP11" s="11"/>
      <c r="ATQ11" s="11"/>
      <c r="ATR11" s="11"/>
      <c r="ATS11" s="11"/>
      <c r="ATT11" s="11"/>
      <c r="ATU11" s="11"/>
      <c r="ATV11" s="11"/>
      <c r="ATW11" s="11"/>
      <c r="ATX11" s="11"/>
      <c r="ATY11" s="11"/>
      <c r="ATZ11" s="11"/>
      <c r="AUA11" s="11"/>
      <c r="AUB11" s="11"/>
      <c r="AUC11" s="11"/>
      <c r="AUD11" s="11"/>
      <c r="AUE11" s="11"/>
      <c r="AUF11" s="11"/>
      <c r="AUG11" s="11"/>
      <c r="AUH11" s="11"/>
      <c r="AUI11" s="11"/>
      <c r="AUJ11" s="11"/>
      <c r="AUK11" s="11"/>
      <c r="AUL11" s="11"/>
      <c r="AUM11" s="11"/>
      <c r="AUN11" s="11"/>
      <c r="AUO11" s="11"/>
      <c r="AUP11" s="11"/>
      <c r="AUQ11" s="11"/>
      <c r="AUR11" s="11"/>
      <c r="AUS11" s="11"/>
      <c r="AUT11" s="11"/>
      <c r="AUU11" s="11"/>
      <c r="AUV11" s="11"/>
      <c r="AUW11" s="11"/>
      <c r="AUX11" s="11"/>
      <c r="AUY11" s="11"/>
      <c r="AUZ11" s="11"/>
      <c r="AVA11" s="11"/>
      <c r="AVB11" s="11"/>
      <c r="AVC11" s="11"/>
      <c r="AVD11" s="11"/>
      <c r="AVE11" s="11"/>
      <c r="AVF11" s="11"/>
      <c r="AVG11" s="11"/>
      <c r="AVH11" s="11"/>
      <c r="AVI11" s="11"/>
      <c r="AVJ11" s="11"/>
      <c r="AVK11" s="11"/>
      <c r="AVL11" s="11"/>
      <c r="AVM11" s="11"/>
      <c r="AVN11" s="11"/>
      <c r="AVO11" s="11"/>
      <c r="AVP11" s="11"/>
      <c r="AVQ11" s="11"/>
      <c r="AVR11" s="11"/>
      <c r="AVS11" s="11"/>
      <c r="AVT11" s="11"/>
      <c r="AVU11" s="11"/>
      <c r="AVV11" s="11"/>
      <c r="AVW11" s="11"/>
      <c r="AVX11" s="11"/>
      <c r="AVY11" s="11"/>
      <c r="AVZ11" s="11"/>
      <c r="AWA11" s="11"/>
      <c r="AWB11" s="11"/>
      <c r="AWC11" s="11"/>
      <c r="AWD11" s="11"/>
      <c r="AWE11" s="11"/>
      <c r="AWF11" s="11"/>
      <c r="AWG11" s="11"/>
      <c r="AWH11" s="11"/>
      <c r="AWI11" s="11"/>
      <c r="AWJ11" s="11"/>
      <c r="AWK11" s="11"/>
      <c r="AWL11" s="11"/>
      <c r="AWM11" s="11"/>
      <c r="AWN11" s="11"/>
      <c r="AWO11" s="11"/>
      <c r="AWP11" s="11"/>
      <c r="AWQ11" s="11"/>
      <c r="AWR11" s="11"/>
      <c r="AWS11" s="11"/>
      <c r="AWT11" s="11"/>
      <c r="AWU11" s="11"/>
      <c r="AWV11" s="11"/>
      <c r="AWW11" s="11"/>
      <c r="AWX11" s="11"/>
      <c r="AWY11" s="11"/>
      <c r="AWZ11" s="11"/>
      <c r="AXA11" s="11"/>
      <c r="AXB11" s="11"/>
      <c r="AXC11" s="11"/>
      <c r="AXD11" s="11"/>
      <c r="AXE11" s="11"/>
      <c r="AXF11" s="11"/>
      <c r="AXG11" s="11"/>
      <c r="AXH11" s="11"/>
      <c r="AXI11" s="11"/>
      <c r="AXJ11" s="11"/>
      <c r="AXK11" s="11"/>
      <c r="AXL11" s="11"/>
      <c r="AXM11" s="11"/>
      <c r="AXN11" s="11"/>
      <c r="AXO11" s="11"/>
      <c r="AXP11" s="11"/>
      <c r="AXQ11" s="11"/>
      <c r="AXR11" s="11"/>
      <c r="AXS11" s="11"/>
      <c r="AXT11" s="11"/>
      <c r="AXU11" s="11"/>
      <c r="AXV11" s="11"/>
      <c r="AXW11" s="11"/>
      <c r="AXX11" s="11"/>
      <c r="AXY11" s="11"/>
      <c r="AXZ11" s="11"/>
      <c r="AYA11" s="11"/>
      <c r="AYB11" s="11"/>
      <c r="AYC11" s="11"/>
      <c r="AYD11" s="11"/>
      <c r="AYE11" s="11"/>
      <c r="AYF11" s="11"/>
      <c r="AYG11" s="11"/>
      <c r="AYH11" s="11"/>
      <c r="AYI11" s="11"/>
      <c r="AYJ11" s="11"/>
      <c r="AYK11" s="11"/>
      <c r="AYL11" s="11"/>
      <c r="AYM11" s="11"/>
      <c r="AYN11" s="11"/>
      <c r="AYO11" s="11"/>
      <c r="AYP11" s="11"/>
      <c r="AYQ11" s="11"/>
      <c r="AYR11" s="11"/>
      <c r="AYS11" s="11"/>
      <c r="AYT11" s="11"/>
      <c r="AYU11" s="11"/>
      <c r="AYV11" s="11"/>
      <c r="AYW11" s="11"/>
      <c r="AYX11" s="11"/>
      <c r="AYY11" s="11"/>
      <c r="AYZ11" s="11"/>
      <c r="AZA11" s="11"/>
      <c r="AZB11" s="11"/>
      <c r="AZC11" s="11"/>
      <c r="AZD11" s="11"/>
      <c r="AZE11" s="11"/>
      <c r="AZF11" s="11"/>
      <c r="AZG11" s="11"/>
      <c r="AZH11" s="11"/>
      <c r="AZI11" s="11"/>
      <c r="AZJ11" s="11"/>
      <c r="AZK11" s="11"/>
      <c r="AZL11" s="11"/>
      <c r="AZM11" s="11"/>
      <c r="AZN11" s="11"/>
      <c r="AZO11" s="11"/>
      <c r="AZP11" s="11"/>
      <c r="AZQ11" s="11"/>
      <c r="AZR11" s="11"/>
      <c r="AZS11" s="11"/>
      <c r="AZT11" s="11"/>
      <c r="AZU11" s="11"/>
      <c r="AZV11" s="11"/>
      <c r="AZW11" s="11"/>
      <c r="AZX11" s="11"/>
      <c r="AZY11" s="11"/>
      <c r="AZZ11" s="11"/>
      <c r="BAA11" s="11"/>
      <c r="BAB11" s="11"/>
      <c r="BAC11" s="11"/>
      <c r="BAD11" s="11"/>
      <c r="BAE11" s="11"/>
      <c r="BAF11" s="11"/>
      <c r="BAG11" s="11"/>
      <c r="BAH11" s="11"/>
      <c r="BAI11" s="11"/>
      <c r="BAJ11" s="11"/>
      <c r="BAK11" s="11"/>
      <c r="BAL11" s="11"/>
      <c r="BAM11" s="11"/>
      <c r="BAN11" s="11"/>
      <c r="BAO11" s="11"/>
      <c r="BAP11" s="11"/>
      <c r="BAQ11" s="11"/>
      <c r="BAR11" s="11"/>
      <c r="BAS11" s="11"/>
      <c r="BAT11" s="11"/>
      <c r="BAU11" s="11"/>
      <c r="BAV11" s="11"/>
      <c r="BAW11" s="11"/>
      <c r="BAX11" s="11"/>
      <c r="BAY11" s="11"/>
      <c r="BAZ11" s="11"/>
      <c r="BBA11" s="11"/>
      <c r="BBB11" s="11"/>
      <c r="BBC11" s="11"/>
      <c r="BBD11" s="11"/>
      <c r="BBE11" s="11"/>
      <c r="BBF11" s="11"/>
      <c r="BBG11" s="11"/>
      <c r="BBH11" s="11"/>
      <c r="BBI11" s="11"/>
      <c r="BBJ11" s="11"/>
      <c r="BBK11" s="11"/>
      <c r="BBL11" s="11"/>
      <c r="BBM11" s="11"/>
      <c r="BBN11" s="11"/>
      <c r="BBO11" s="11"/>
      <c r="BBP11" s="11"/>
      <c r="BBQ11" s="11"/>
      <c r="BBR11" s="11"/>
      <c r="BBS11" s="11"/>
      <c r="BBT11" s="11"/>
      <c r="BBU11" s="11"/>
      <c r="BBV11" s="11"/>
      <c r="BBW11" s="11"/>
      <c r="BBX11" s="11"/>
      <c r="BBY11" s="11"/>
      <c r="BBZ11" s="11"/>
      <c r="BCA11" s="11"/>
      <c r="BCB11" s="11"/>
      <c r="BCC11" s="11"/>
      <c r="BCD11" s="11"/>
      <c r="BCE11" s="11"/>
      <c r="BCF11" s="11"/>
      <c r="BCG11" s="11"/>
      <c r="BCH11" s="11"/>
      <c r="BCI11" s="11"/>
      <c r="BCJ11" s="11"/>
      <c r="BCK11" s="11"/>
      <c r="BCL11" s="11"/>
      <c r="BCM11" s="11"/>
      <c r="BCN11" s="11"/>
      <c r="BCO11" s="11"/>
      <c r="BCP11" s="11"/>
      <c r="BCQ11" s="11"/>
      <c r="BCR11" s="11"/>
      <c r="BCS11" s="11"/>
      <c r="BCT11" s="11"/>
      <c r="BCU11" s="11"/>
      <c r="BCV11" s="11"/>
      <c r="BCW11" s="11"/>
      <c r="BCX11" s="11"/>
      <c r="BCY11" s="11"/>
      <c r="BCZ11" s="11"/>
      <c r="BDA11" s="11"/>
      <c r="BDB11" s="11"/>
      <c r="BDC11" s="11"/>
      <c r="BDD11" s="11"/>
      <c r="BDE11" s="11"/>
      <c r="BDF11" s="11"/>
      <c r="BDG11" s="11"/>
      <c r="BDH11" s="11"/>
      <c r="BDI11" s="11"/>
      <c r="BDJ11" s="11"/>
      <c r="BDK11" s="11"/>
      <c r="BDL11" s="11"/>
      <c r="BDM11" s="11"/>
      <c r="BDN11" s="11"/>
      <c r="BDO11" s="11"/>
      <c r="BDP11" s="11"/>
      <c r="BDQ11" s="11"/>
      <c r="BDR11" s="11"/>
      <c r="BDS11" s="11"/>
      <c r="BDT11" s="11"/>
      <c r="BDU11" s="11"/>
      <c r="BDV11" s="11"/>
      <c r="BDW11" s="11"/>
      <c r="BDX11" s="11"/>
      <c r="BDY11" s="11"/>
      <c r="BDZ11" s="11"/>
      <c r="BEA11" s="11"/>
      <c r="BEB11" s="11"/>
      <c r="BEC11" s="11"/>
      <c r="BED11" s="11"/>
      <c r="BEE11" s="11"/>
      <c r="BEF11" s="11"/>
      <c r="BEG11" s="11"/>
      <c r="BEH11" s="11"/>
      <c r="BEI11" s="11"/>
      <c r="BEJ11" s="11"/>
      <c r="BEK11" s="11"/>
      <c r="BEL11" s="11"/>
      <c r="BEM11" s="11"/>
      <c r="BEN11" s="11"/>
      <c r="BEO11" s="11"/>
      <c r="BEP11" s="11"/>
      <c r="BEQ11" s="11"/>
      <c r="BER11" s="11"/>
      <c r="BES11" s="11"/>
      <c r="BET11" s="11"/>
      <c r="BEU11" s="11"/>
      <c r="BEV11" s="11"/>
      <c r="BEW11" s="11"/>
      <c r="BEX11" s="11"/>
      <c r="BEY11" s="11"/>
      <c r="BEZ11" s="11"/>
      <c r="BFA11" s="11"/>
      <c r="BFB11" s="11"/>
      <c r="BFC11" s="11"/>
      <c r="BFD11" s="11"/>
      <c r="BFE11" s="11"/>
      <c r="BFF11" s="11"/>
      <c r="BFG11" s="11"/>
      <c r="BFH11" s="11"/>
      <c r="BFI11" s="11"/>
      <c r="BFJ11" s="11"/>
      <c r="BFK11" s="11"/>
      <c r="BFL11" s="11"/>
      <c r="BFM11" s="11"/>
      <c r="BFN11" s="11"/>
      <c r="BFO11" s="11"/>
      <c r="BFP11" s="11"/>
      <c r="BFQ11" s="11"/>
      <c r="BFR11" s="11"/>
      <c r="BFS11" s="11"/>
      <c r="BFT11" s="11"/>
      <c r="BFU11" s="11"/>
      <c r="BFV11" s="11"/>
      <c r="BFW11" s="11"/>
      <c r="BFX11" s="11"/>
      <c r="BFY11" s="11"/>
      <c r="BFZ11" s="11"/>
      <c r="BGA11" s="11"/>
      <c r="BGB11" s="11"/>
      <c r="BGC11" s="11"/>
      <c r="BGD11" s="11"/>
      <c r="BGE11" s="11"/>
      <c r="BGF11" s="11"/>
      <c r="BGG11" s="11"/>
      <c r="BGH11" s="11"/>
      <c r="BGI11" s="11"/>
      <c r="BGJ11" s="11"/>
      <c r="BGK11" s="11"/>
      <c r="BGL11" s="11"/>
      <c r="BGM11" s="11"/>
      <c r="BGN11" s="11"/>
      <c r="BGO11" s="11"/>
      <c r="BGP11" s="11"/>
      <c r="BGQ11" s="11"/>
      <c r="BGR11" s="11"/>
      <c r="BGS11" s="11"/>
      <c r="BGT11" s="11"/>
      <c r="BGU11" s="11"/>
      <c r="BGV11" s="11"/>
      <c r="BGW11" s="11"/>
      <c r="BGX11" s="11"/>
      <c r="BGY11" s="11"/>
      <c r="BGZ11" s="11"/>
      <c r="BHA11" s="11"/>
      <c r="BHB11" s="11"/>
      <c r="BHC11" s="11"/>
      <c r="BHD11" s="11"/>
      <c r="BHE11" s="11"/>
      <c r="BHF11" s="11"/>
      <c r="BHG11" s="11"/>
      <c r="BHH11" s="11"/>
      <c r="BHI11" s="11"/>
      <c r="BHJ11" s="11"/>
      <c r="BHK11" s="11"/>
      <c r="BHL11" s="11"/>
      <c r="BHM11" s="11"/>
      <c r="BHN11" s="11"/>
      <c r="BHO11" s="11"/>
      <c r="BHP11" s="11"/>
      <c r="BHQ11" s="11"/>
      <c r="BHR11" s="11"/>
      <c r="BHS11" s="11"/>
      <c r="BHT11" s="11"/>
      <c r="BHU11" s="11"/>
      <c r="BHV11" s="11"/>
      <c r="BHW11" s="11"/>
      <c r="BHX11" s="11"/>
      <c r="BHY11" s="11"/>
      <c r="BHZ11" s="11"/>
      <c r="BIA11" s="11"/>
      <c r="BIB11" s="11"/>
      <c r="BIC11" s="11"/>
      <c r="BID11" s="11"/>
      <c r="BIE11" s="11"/>
      <c r="BIF11" s="11"/>
      <c r="BIG11" s="11"/>
      <c r="BIH11" s="11"/>
      <c r="BII11" s="11"/>
      <c r="BIJ11" s="11"/>
      <c r="BIK11" s="11"/>
      <c r="BIL11" s="11"/>
      <c r="BIM11" s="11"/>
      <c r="BIN11" s="11"/>
      <c r="BIO11" s="11"/>
      <c r="BIP11" s="11"/>
      <c r="BIQ11" s="11"/>
      <c r="BIR11" s="11"/>
      <c r="BIS11" s="11"/>
      <c r="BIT11" s="11"/>
      <c r="BIU11" s="11"/>
      <c r="BIV11" s="11"/>
      <c r="BIW11" s="11"/>
      <c r="BIX11" s="11"/>
      <c r="BIY11" s="11"/>
      <c r="BIZ11" s="11"/>
      <c r="BJA11" s="11"/>
      <c r="BJB11" s="11"/>
      <c r="BJC11" s="11"/>
      <c r="BJD11" s="11"/>
      <c r="BJE11" s="11"/>
      <c r="BJF11" s="11"/>
      <c r="BJG11" s="11"/>
      <c r="BJH11" s="11"/>
      <c r="BJI11" s="11"/>
      <c r="BJJ11" s="11"/>
      <c r="BJK11" s="11"/>
      <c r="BJL11" s="11"/>
      <c r="BJM11" s="11"/>
      <c r="BJN11" s="11"/>
      <c r="BJO11" s="11"/>
      <c r="BJP11" s="11"/>
      <c r="BJQ11" s="11"/>
      <c r="BJR11" s="11"/>
      <c r="BJS11" s="11"/>
      <c r="BJT11" s="11"/>
      <c r="BJU11" s="11"/>
      <c r="BJV11" s="11"/>
      <c r="BJW11" s="11"/>
      <c r="BJX11" s="11"/>
      <c r="BJY11" s="11"/>
      <c r="BJZ11" s="11"/>
      <c r="BKA11" s="11"/>
      <c r="BKB11" s="11"/>
      <c r="BKC11" s="11"/>
      <c r="BKD11" s="11"/>
      <c r="BKE11" s="11"/>
      <c r="BKF11" s="11"/>
      <c r="BKG11" s="11"/>
      <c r="BKH11" s="11"/>
      <c r="BKI11" s="11"/>
      <c r="BKJ11" s="11"/>
      <c r="BKK11" s="11"/>
      <c r="BKL11" s="11"/>
      <c r="BKM11" s="11"/>
      <c r="BKN11" s="11"/>
      <c r="BKO11" s="11"/>
      <c r="BKP11" s="11"/>
      <c r="BKQ11" s="11"/>
      <c r="BKR11" s="11"/>
      <c r="BKS11" s="11"/>
      <c r="BKT11" s="11"/>
      <c r="BKU11" s="11"/>
      <c r="BKV11" s="11"/>
      <c r="BKW11" s="11"/>
      <c r="BKX11" s="11"/>
      <c r="BKY11" s="11"/>
      <c r="BKZ11" s="11"/>
      <c r="BLA11" s="11"/>
      <c r="BLB11" s="11"/>
      <c r="BLC11" s="11"/>
      <c r="BLD11" s="11"/>
      <c r="BLE11" s="11"/>
      <c r="BLF11" s="11"/>
      <c r="BLG11" s="11"/>
      <c r="BLH11" s="11"/>
      <c r="BLI11" s="11"/>
      <c r="BLJ11" s="11"/>
      <c r="BLK11" s="11"/>
      <c r="BLL11" s="11"/>
      <c r="BLM11" s="11"/>
      <c r="BLN11" s="11"/>
      <c r="BLO11" s="11"/>
      <c r="BLP11" s="11"/>
      <c r="BLQ11" s="11"/>
      <c r="BLR11" s="11"/>
      <c r="BLS11" s="11"/>
      <c r="BLT11" s="11"/>
      <c r="BLU11" s="11"/>
      <c r="BLV11" s="11"/>
      <c r="BLW11" s="11"/>
      <c r="BLX11" s="11"/>
      <c r="BLY11" s="11"/>
      <c r="BLZ11" s="11"/>
      <c r="BMA11" s="11"/>
      <c r="BMB11" s="11"/>
      <c r="BMC11" s="11"/>
      <c r="BMD11" s="11"/>
      <c r="BME11" s="11"/>
      <c r="BMF11" s="11"/>
      <c r="BMG11" s="11"/>
      <c r="BMH11" s="11"/>
      <c r="BMI11" s="11"/>
      <c r="BMJ11" s="11"/>
      <c r="BMK11" s="11"/>
      <c r="BML11" s="11"/>
      <c r="BMM11" s="11"/>
      <c r="BMN11" s="11"/>
      <c r="BMO11" s="11"/>
      <c r="BMP11" s="11"/>
      <c r="BMQ11" s="11"/>
      <c r="BMR11" s="11"/>
      <c r="BMS11" s="11"/>
      <c r="BMT11" s="11"/>
      <c r="BMU11" s="11"/>
      <c r="BMV11" s="11"/>
      <c r="BMW11" s="11"/>
      <c r="BMX11" s="11"/>
      <c r="BMY11" s="11"/>
      <c r="BMZ11" s="11"/>
      <c r="BNA11" s="11"/>
      <c r="BNB11" s="11"/>
      <c r="BNC11" s="11"/>
      <c r="BND11" s="11"/>
      <c r="BNE11" s="11"/>
      <c r="BNF11" s="11"/>
      <c r="BNG11" s="11"/>
      <c r="BNH11" s="11"/>
      <c r="BNI11" s="11"/>
      <c r="BNJ11" s="11"/>
      <c r="BNK11" s="11"/>
      <c r="BNL11" s="11"/>
      <c r="BNM11" s="11"/>
      <c r="BNN11" s="11"/>
      <c r="BNO11" s="11"/>
      <c r="BNP11" s="11"/>
      <c r="BNQ11" s="11"/>
      <c r="BNR11" s="11"/>
      <c r="BNS11" s="11"/>
      <c r="BNT11" s="11"/>
      <c r="BNU11" s="11"/>
      <c r="BNV11" s="11"/>
      <c r="BNW11" s="11"/>
      <c r="BNX11" s="11"/>
      <c r="BNY11" s="11"/>
      <c r="BNZ11" s="11"/>
      <c r="BOA11" s="11"/>
      <c r="BOB11" s="11"/>
      <c r="BOC11" s="11"/>
      <c r="BOD11" s="11"/>
      <c r="BOE11" s="11"/>
      <c r="BOF11" s="11"/>
      <c r="BOG11" s="11"/>
      <c r="BOH11" s="11"/>
      <c r="BOI11" s="11"/>
      <c r="BOJ11" s="11"/>
      <c r="BOK11" s="11"/>
      <c r="BOL11" s="11"/>
      <c r="BOM11" s="11"/>
      <c r="BON11" s="11"/>
      <c r="BOO11" s="11"/>
      <c r="BOP11" s="11"/>
      <c r="BOQ11" s="11"/>
      <c r="BOR11" s="11"/>
      <c r="BOS11" s="11"/>
      <c r="BOT11" s="11"/>
      <c r="BOU11" s="11"/>
      <c r="BOV11" s="11"/>
      <c r="BOW11" s="11"/>
      <c r="BOX11" s="11"/>
      <c r="BOY11" s="11"/>
      <c r="BOZ11" s="11"/>
      <c r="BPA11" s="11"/>
      <c r="BPB11" s="11"/>
      <c r="BPC11" s="11"/>
      <c r="BPD11" s="11"/>
      <c r="BPE11" s="11"/>
      <c r="BPF11" s="11"/>
      <c r="BPG11" s="11"/>
      <c r="BPH11" s="11"/>
      <c r="BPI11" s="11"/>
      <c r="BPJ11" s="11"/>
      <c r="BPK11" s="11"/>
      <c r="BPL11" s="11"/>
      <c r="BPM11" s="11"/>
      <c r="BPN11" s="11"/>
      <c r="BPO11" s="11"/>
      <c r="BPP11" s="11"/>
      <c r="BPQ11" s="11"/>
      <c r="BPR11" s="11"/>
      <c r="BPS11" s="11"/>
      <c r="BPT11" s="11"/>
      <c r="BPU11" s="11"/>
      <c r="BPV11" s="11"/>
      <c r="BPW11" s="11"/>
      <c r="BPX11" s="11"/>
      <c r="BPY11" s="11"/>
      <c r="BPZ11" s="11"/>
      <c r="BQA11" s="11"/>
      <c r="BQB11" s="11"/>
      <c r="BQC11" s="11"/>
      <c r="BQD11" s="11"/>
      <c r="BQE11" s="11"/>
      <c r="BQF11" s="11"/>
      <c r="BQG11" s="11"/>
      <c r="BQH11" s="11"/>
      <c r="BQI11" s="11"/>
      <c r="BQJ11" s="11"/>
      <c r="BQK11" s="11"/>
      <c r="BQL11" s="11"/>
      <c r="BQM11" s="11"/>
      <c r="BQN11" s="11"/>
      <c r="BQO11" s="11"/>
      <c r="BQP11" s="11"/>
      <c r="BQQ11" s="11"/>
      <c r="BQR11" s="11"/>
      <c r="BQS11" s="11"/>
      <c r="BQT11" s="11"/>
      <c r="BQU11" s="11"/>
      <c r="BQV11" s="11"/>
      <c r="BQW11" s="11"/>
      <c r="BQX11" s="11"/>
      <c r="BQY11" s="11"/>
      <c r="BQZ11" s="11"/>
      <c r="BRA11" s="11"/>
      <c r="BRB11" s="11"/>
      <c r="BRC11" s="11"/>
      <c r="BRD11" s="11"/>
      <c r="BRE11" s="11"/>
      <c r="BRF11" s="11"/>
      <c r="BRG11" s="11"/>
      <c r="BRH11" s="11"/>
      <c r="BRI11" s="11"/>
      <c r="BRJ11" s="11"/>
      <c r="BRK11" s="11"/>
      <c r="BRL11" s="11"/>
      <c r="BRM11" s="11"/>
      <c r="BRN11" s="11"/>
      <c r="BRO11" s="11"/>
      <c r="BRP11" s="11"/>
      <c r="BRQ11" s="11"/>
      <c r="BRR11" s="11"/>
      <c r="BRS11" s="11"/>
      <c r="BRT11" s="11"/>
      <c r="BRU11" s="11"/>
      <c r="BRV11" s="11"/>
      <c r="BRW11" s="11"/>
      <c r="BRX11" s="11"/>
      <c r="BRY11" s="11"/>
      <c r="BRZ11" s="11"/>
      <c r="BSA11" s="11"/>
      <c r="BSB11" s="11"/>
      <c r="BSC11" s="11"/>
      <c r="BSD11" s="11"/>
    </row>
    <row r="12" spans="1:1850" s="12" customFormat="1" ht="20.100000000000001" customHeight="1" thickBot="1">
      <c r="A12" s="85" t="s">
        <v>19</v>
      </c>
      <c r="B12" s="86"/>
      <c r="C12" s="82">
        <v>41524</v>
      </c>
      <c r="D12" s="87">
        <v>41588</v>
      </c>
      <c r="E12" s="88" t="str">
        <f t="shared" si="0"/>
        <v>65 days</v>
      </c>
      <c r="F12" s="92"/>
      <c r="G12" s="15"/>
      <c r="H12" s="15"/>
      <c r="I12" s="15"/>
      <c r="J12" s="15"/>
      <c r="K12" s="15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7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  <c r="XY12" s="11"/>
      <c r="XZ12" s="11"/>
      <c r="YA12" s="11"/>
      <c r="YB12" s="11"/>
      <c r="YC12" s="11"/>
      <c r="YD12" s="11"/>
      <c r="YE12" s="11"/>
      <c r="YF12" s="11"/>
      <c r="YG12" s="11"/>
      <c r="YH12" s="11"/>
      <c r="YI12" s="11"/>
      <c r="YJ12" s="11"/>
      <c r="YK12" s="11"/>
      <c r="YL12" s="11"/>
      <c r="YM12" s="11"/>
      <c r="YN12" s="11"/>
      <c r="YO12" s="11"/>
      <c r="YP12" s="11"/>
      <c r="YQ12" s="11"/>
      <c r="YR12" s="11"/>
      <c r="YS12" s="11"/>
      <c r="YT12" s="11"/>
      <c r="YU12" s="11"/>
      <c r="YV12" s="11"/>
      <c r="YW12" s="11"/>
      <c r="YX12" s="11"/>
      <c r="YY12" s="11"/>
      <c r="YZ12" s="11"/>
      <c r="ZA12" s="11"/>
      <c r="ZB12" s="11"/>
      <c r="ZC12" s="11"/>
      <c r="ZD12" s="11"/>
      <c r="ZE12" s="11"/>
      <c r="ZF12" s="11"/>
      <c r="ZG12" s="11"/>
      <c r="ZH12" s="11"/>
      <c r="ZI12" s="11"/>
      <c r="ZJ12" s="11"/>
      <c r="ZK12" s="11"/>
      <c r="ZL12" s="11"/>
      <c r="ZM12" s="11"/>
      <c r="ZN12" s="11"/>
      <c r="ZO12" s="11"/>
      <c r="ZP12" s="11"/>
      <c r="ZQ12" s="11"/>
      <c r="ZR12" s="11"/>
      <c r="ZS12" s="11"/>
      <c r="ZT12" s="11"/>
      <c r="ZU12" s="11"/>
      <c r="ZV12" s="11"/>
      <c r="ZW12" s="11"/>
      <c r="ZX12" s="11"/>
      <c r="ZY12" s="11"/>
      <c r="ZZ12" s="11"/>
      <c r="AAA12" s="11"/>
      <c r="AAB12" s="11"/>
      <c r="AAC12" s="11"/>
      <c r="AAD12" s="11"/>
      <c r="AAE12" s="11"/>
      <c r="AAF12" s="11"/>
      <c r="AAG12" s="11"/>
      <c r="AAH12" s="11"/>
      <c r="AAI12" s="11"/>
      <c r="AAJ12" s="11"/>
      <c r="AAK12" s="11"/>
      <c r="AAL12" s="11"/>
      <c r="AAM12" s="11"/>
      <c r="AAN12" s="11"/>
      <c r="AAO12" s="11"/>
      <c r="AAP12" s="11"/>
      <c r="AAQ12" s="11"/>
      <c r="AAR12" s="11"/>
      <c r="AAS12" s="11"/>
      <c r="AAT12" s="11"/>
      <c r="AAU12" s="11"/>
      <c r="AAV12" s="11"/>
      <c r="AAW12" s="11"/>
      <c r="AAX12" s="11"/>
      <c r="AAY12" s="11"/>
      <c r="AAZ12" s="11"/>
      <c r="ABA12" s="11"/>
      <c r="ABB12" s="11"/>
      <c r="ABC12" s="11"/>
      <c r="ABD12" s="11"/>
      <c r="ABE12" s="11"/>
      <c r="ABF12" s="11"/>
      <c r="ABG12" s="11"/>
      <c r="ABH12" s="11"/>
      <c r="ABI12" s="11"/>
      <c r="ABJ12" s="11"/>
      <c r="ABK12" s="11"/>
      <c r="ABL12" s="11"/>
      <c r="ABM12" s="11"/>
      <c r="ABN12" s="11"/>
      <c r="ABO12" s="11"/>
      <c r="ABP12" s="11"/>
      <c r="ABQ12" s="11"/>
      <c r="ABR12" s="11"/>
      <c r="ABS12" s="11"/>
      <c r="ABT12" s="11"/>
      <c r="ABU12" s="11"/>
      <c r="ABV12" s="11"/>
      <c r="ABW12" s="11"/>
      <c r="ABX12" s="11"/>
      <c r="ABY12" s="11"/>
      <c r="ABZ12" s="11"/>
      <c r="ACA12" s="11"/>
      <c r="ACB12" s="11"/>
      <c r="ACC12" s="11"/>
      <c r="ACD12" s="11"/>
      <c r="ACE12" s="11"/>
      <c r="ACF12" s="11"/>
      <c r="ACG12" s="11"/>
      <c r="ACH12" s="11"/>
      <c r="ACI12" s="11"/>
      <c r="ACJ12" s="11"/>
      <c r="ACK12" s="11"/>
      <c r="ACL12" s="11"/>
      <c r="ACM12" s="11"/>
      <c r="ACN12" s="11"/>
      <c r="ACO12" s="11"/>
      <c r="ACP12" s="11"/>
      <c r="ACQ12" s="11"/>
      <c r="ACR12" s="11"/>
      <c r="ACS12" s="11"/>
      <c r="ACT12" s="11"/>
      <c r="ACU12" s="11"/>
      <c r="ACV12" s="11"/>
      <c r="ACW12" s="11"/>
      <c r="ACX12" s="11"/>
      <c r="ACY12" s="11"/>
      <c r="ACZ12" s="11"/>
      <c r="ADA12" s="11"/>
      <c r="ADB12" s="11"/>
      <c r="ADC12" s="11"/>
      <c r="ADD12" s="11"/>
      <c r="ADE12" s="11"/>
      <c r="ADF12" s="11"/>
      <c r="ADG12" s="11"/>
      <c r="ADH12" s="11"/>
      <c r="ADI12" s="11"/>
      <c r="ADJ12" s="11"/>
      <c r="ADK12" s="11"/>
      <c r="ADL12" s="11"/>
      <c r="ADM12" s="11"/>
      <c r="ADN12" s="11"/>
      <c r="ADO12" s="11"/>
      <c r="ADP12" s="11"/>
      <c r="ADQ12" s="11"/>
      <c r="ADR12" s="11"/>
      <c r="ADS12" s="11"/>
      <c r="ADT12" s="11"/>
      <c r="ADU12" s="11"/>
      <c r="ADV12" s="11"/>
      <c r="ADW12" s="11"/>
      <c r="ADX12" s="11"/>
      <c r="ADY12" s="11"/>
      <c r="ADZ12" s="11"/>
      <c r="AEA12" s="11"/>
      <c r="AEB12" s="11"/>
      <c r="AEC12" s="11"/>
      <c r="AED12" s="11"/>
      <c r="AEE12" s="11"/>
      <c r="AEF12" s="11"/>
      <c r="AEG12" s="11"/>
      <c r="AEH12" s="11"/>
      <c r="AEI12" s="11"/>
      <c r="AEJ12" s="11"/>
      <c r="AEK12" s="11"/>
      <c r="AEL12" s="11"/>
      <c r="AEM12" s="11"/>
      <c r="AEN12" s="11"/>
      <c r="AEO12" s="11"/>
      <c r="AEP12" s="11"/>
      <c r="AEQ12" s="11"/>
      <c r="AER12" s="11"/>
      <c r="AES12" s="11"/>
      <c r="AET12" s="11"/>
      <c r="AEU12" s="11"/>
      <c r="AEV12" s="11"/>
      <c r="AEW12" s="11"/>
      <c r="AEX12" s="11"/>
      <c r="AEY12" s="11"/>
      <c r="AEZ12" s="11"/>
      <c r="AFA12" s="11"/>
      <c r="AFB12" s="11"/>
      <c r="AFC12" s="11"/>
      <c r="AFD12" s="11"/>
      <c r="AFE12" s="11"/>
      <c r="AFF12" s="11"/>
      <c r="AFG12" s="11"/>
      <c r="AFH12" s="11"/>
      <c r="AFI12" s="11"/>
      <c r="AFJ12" s="11"/>
      <c r="AFK12" s="11"/>
      <c r="AFL12" s="11"/>
      <c r="AFM12" s="11"/>
      <c r="AFN12" s="11"/>
      <c r="AFO12" s="11"/>
      <c r="AFP12" s="11"/>
      <c r="AFQ12" s="11"/>
      <c r="AFR12" s="11"/>
      <c r="AFS12" s="11"/>
      <c r="AFT12" s="11"/>
      <c r="AFU12" s="11"/>
      <c r="AFV12" s="11"/>
      <c r="AFW12" s="11"/>
      <c r="AFX12" s="11"/>
      <c r="AFY12" s="11"/>
      <c r="AFZ12" s="11"/>
      <c r="AGA12" s="11"/>
      <c r="AGB12" s="11"/>
      <c r="AGC12" s="11"/>
      <c r="AGD12" s="11"/>
      <c r="AGE12" s="11"/>
      <c r="AGF12" s="11"/>
      <c r="AGG12" s="11"/>
      <c r="AGH12" s="11"/>
      <c r="AGI12" s="11"/>
      <c r="AGJ12" s="11"/>
      <c r="AGK12" s="11"/>
      <c r="AGL12" s="11"/>
      <c r="AGM12" s="11"/>
      <c r="AGN12" s="11"/>
      <c r="AGO12" s="11"/>
      <c r="AGP12" s="11"/>
      <c r="AGQ12" s="11"/>
      <c r="AGR12" s="11"/>
      <c r="AGS12" s="11"/>
      <c r="AGT12" s="11"/>
      <c r="AGU12" s="11"/>
      <c r="AGV12" s="11"/>
      <c r="AGW12" s="11"/>
      <c r="AGX12" s="11"/>
      <c r="AGY12" s="11"/>
      <c r="AGZ12" s="11"/>
      <c r="AHA12" s="11"/>
      <c r="AHB12" s="11"/>
      <c r="AHC12" s="11"/>
      <c r="AHD12" s="11"/>
      <c r="AHE12" s="11"/>
      <c r="AHF12" s="11"/>
      <c r="AHG12" s="11"/>
      <c r="AHH12" s="11"/>
      <c r="AHI12" s="11"/>
      <c r="AHJ12" s="11"/>
      <c r="AHK12" s="11"/>
      <c r="AHL12" s="11"/>
      <c r="AHM12" s="11"/>
      <c r="AHN12" s="11"/>
      <c r="AHO12" s="11"/>
      <c r="AHP12" s="11"/>
      <c r="AHQ12" s="11"/>
      <c r="AHR12" s="11"/>
      <c r="AHS12" s="11"/>
      <c r="AHT12" s="11"/>
      <c r="AHU12" s="11"/>
      <c r="AHV12" s="11"/>
      <c r="AHW12" s="11"/>
      <c r="AHX12" s="11"/>
      <c r="AHY12" s="11"/>
      <c r="AHZ12" s="11"/>
      <c r="AIA12" s="11"/>
      <c r="AIB12" s="11"/>
      <c r="AIC12" s="11"/>
      <c r="AID12" s="11"/>
      <c r="AIE12" s="11"/>
      <c r="AIF12" s="11"/>
      <c r="AIG12" s="11"/>
      <c r="AIH12" s="11"/>
      <c r="AII12" s="11"/>
      <c r="AIJ12" s="11"/>
      <c r="AIK12" s="11"/>
      <c r="AIL12" s="11"/>
      <c r="AIM12" s="11"/>
      <c r="AIN12" s="11"/>
      <c r="AIO12" s="11"/>
      <c r="AIP12" s="11"/>
      <c r="AIQ12" s="11"/>
      <c r="AIR12" s="11"/>
      <c r="AIS12" s="11"/>
      <c r="AIT12" s="11"/>
      <c r="AIU12" s="11"/>
      <c r="AIV12" s="11"/>
      <c r="AIW12" s="11"/>
      <c r="AIX12" s="11"/>
      <c r="AIY12" s="11"/>
      <c r="AIZ12" s="11"/>
      <c r="AJA12" s="11"/>
      <c r="AJB12" s="11"/>
      <c r="AJC12" s="11"/>
      <c r="AJD12" s="11"/>
      <c r="AJE12" s="11"/>
      <c r="AJF12" s="11"/>
      <c r="AJG12" s="11"/>
      <c r="AJH12" s="11"/>
      <c r="AJI12" s="11"/>
      <c r="AJJ12" s="11"/>
      <c r="AJK12" s="11"/>
      <c r="AJL12" s="11"/>
      <c r="AJM12" s="11"/>
      <c r="AJN12" s="11"/>
      <c r="AJO12" s="11"/>
      <c r="AJP12" s="11"/>
      <c r="AJQ12" s="11"/>
      <c r="AJR12" s="11"/>
      <c r="AJS12" s="11"/>
      <c r="AJT12" s="11"/>
      <c r="AJU12" s="11"/>
      <c r="AJV12" s="11"/>
      <c r="AJW12" s="11"/>
      <c r="AJX12" s="11"/>
      <c r="AJY12" s="11"/>
      <c r="AJZ12" s="11"/>
      <c r="AKA12" s="11"/>
      <c r="AKB12" s="11"/>
      <c r="AKC12" s="11"/>
      <c r="AKD12" s="11"/>
      <c r="AKE12" s="11"/>
      <c r="AKF12" s="11"/>
      <c r="AKG12" s="11"/>
      <c r="AKH12" s="11"/>
      <c r="AKI12" s="11"/>
      <c r="AKJ12" s="11"/>
      <c r="AKK12" s="11"/>
      <c r="AKL12" s="11"/>
      <c r="AKM12" s="11"/>
      <c r="AKN12" s="11"/>
      <c r="AKO12" s="11"/>
      <c r="AKP12" s="11"/>
      <c r="AKQ12" s="11"/>
      <c r="AKR12" s="11"/>
      <c r="AKS12" s="11"/>
      <c r="AKT12" s="11"/>
      <c r="AKU12" s="11"/>
      <c r="AKV12" s="11"/>
      <c r="AKW12" s="11"/>
      <c r="AKX12" s="11"/>
      <c r="AKY12" s="11"/>
      <c r="AKZ12" s="11"/>
      <c r="ALA12" s="11"/>
      <c r="ALB12" s="11"/>
      <c r="ALC12" s="11"/>
      <c r="ALD12" s="11"/>
      <c r="ALE12" s="11"/>
      <c r="ALF12" s="11"/>
      <c r="ALG12" s="11"/>
      <c r="ALH12" s="11"/>
      <c r="ALI12" s="11"/>
      <c r="ALJ12" s="11"/>
      <c r="ALK12" s="11"/>
      <c r="ALL12" s="11"/>
      <c r="ALM12" s="11"/>
      <c r="ALN12" s="11"/>
      <c r="ALO12" s="11"/>
      <c r="ALP12" s="11"/>
      <c r="ALQ12" s="11"/>
      <c r="ALR12" s="11"/>
      <c r="ALS12" s="11"/>
      <c r="ALT12" s="11"/>
      <c r="ALU12" s="11"/>
      <c r="ALV12" s="11"/>
      <c r="ALW12" s="11"/>
      <c r="ALX12" s="11"/>
      <c r="ALY12" s="11"/>
      <c r="ALZ12" s="11"/>
      <c r="AMA12" s="11"/>
      <c r="AMB12" s="11"/>
      <c r="AMC12" s="11"/>
      <c r="AMD12" s="11"/>
      <c r="AME12" s="11"/>
      <c r="AMF12" s="11"/>
      <c r="AMG12" s="11"/>
      <c r="AMH12" s="11"/>
      <c r="AMI12" s="11"/>
      <c r="AMJ12" s="11"/>
      <c r="AMK12" s="11"/>
      <c r="AML12" s="11"/>
      <c r="AMM12" s="11"/>
      <c r="AMN12" s="11"/>
      <c r="AMO12" s="11"/>
      <c r="AMP12" s="11"/>
      <c r="AMQ12" s="11"/>
      <c r="AMR12" s="11"/>
      <c r="AMS12" s="11"/>
      <c r="AMT12" s="11"/>
      <c r="AMU12" s="11"/>
      <c r="AMV12" s="11"/>
      <c r="AMW12" s="11"/>
      <c r="AMX12" s="11"/>
      <c r="AMY12" s="11"/>
      <c r="AMZ12" s="11"/>
      <c r="ANA12" s="11"/>
      <c r="ANB12" s="11"/>
      <c r="ANC12" s="11"/>
      <c r="AND12" s="11"/>
      <c r="ANE12" s="11"/>
      <c r="ANF12" s="11"/>
      <c r="ANG12" s="11"/>
      <c r="ANH12" s="11"/>
      <c r="ANI12" s="11"/>
      <c r="ANJ12" s="11"/>
      <c r="ANK12" s="11"/>
      <c r="ANL12" s="11"/>
      <c r="ANM12" s="11"/>
      <c r="ANN12" s="11"/>
      <c r="ANO12" s="11"/>
      <c r="ANP12" s="11"/>
      <c r="ANQ12" s="11"/>
      <c r="ANR12" s="11"/>
      <c r="ANS12" s="11"/>
      <c r="ANT12" s="11"/>
      <c r="ANU12" s="11"/>
      <c r="ANV12" s="11"/>
      <c r="ANW12" s="11"/>
      <c r="ANX12" s="11"/>
      <c r="ANY12" s="11"/>
      <c r="ANZ12" s="11"/>
      <c r="AOA12" s="11"/>
      <c r="AOB12" s="11"/>
      <c r="AOC12" s="11"/>
      <c r="AOD12" s="11"/>
      <c r="AOE12" s="11"/>
      <c r="AOF12" s="11"/>
      <c r="AOG12" s="11"/>
      <c r="AOH12" s="11"/>
      <c r="AOI12" s="11"/>
      <c r="AOJ12" s="11"/>
      <c r="AOK12" s="11"/>
      <c r="AOL12" s="11"/>
      <c r="AOM12" s="11"/>
      <c r="AON12" s="11"/>
      <c r="AOO12" s="11"/>
      <c r="AOP12" s="11"/>
      <c r="AOQ12" s="11"/>
      <c r="AOR12" s="11"/>
      <c r="AOS12" s="11"/>
      <c r="AOT12" s="11"/>
      <c r="AOU12" s="11"/>
      <c r="AOV12" s="11"/>
      <c r="AOW12" s="11"/>
      <c r="AOX12" s="11"/>
      <c r="AOY12" s="11"/>
      <c r="AOZ12" s="11"/>
      <c r="APA12" s="11"/>
      <c r="APB12" s="11"/>
      <c r="APC12" s="11"/>
      <c r="APD12" s="11"/>
      <c r="APE12" s="11"/>
      <c r="APF12" s="11"/>
      <c r="APG12" s="11"/>
      <c r="APH12" s="11"/>
      <c r="API12" s="11"/>
      <c r="APJ12" s="11"/>
      <c r="APK12" s="11"/>
      <c r="APL12" s="11"/>
      <c r="APM12" s="11"/>
      <c r="APN12" s="11"/>
      <c r="APO12" s="11"/>
      <c r="APP12" s="11"/>
      <c r="APQ12" s="11"/>
      <c r="APR12" s="11"/>
      <c r="APS12" s="11"/>
      <c r="APT12" s="11"/>
      <c r="APU12" s="11"/>
      <c r="APV12" s="11"/>
      <c r="APW12" s="11"/>
      <c r="APX12" s="11"/>
      <c r="APY12" s="11"/>
      <c r="APZ12" s="11"/>
      <c r="AQA12" s="11"/>
      <c r="AQB12" s="11"/>
      <c r="AQC12" s="11"/>
      <c r="AQD12" s="11"/>
      <c r="AQE12" s="11"/>
      <c r="AQF12" s="11"/>
      <c r="AQG12" s="11"/>
      <c r="AQH12" s="11"/>
      <c r="AQI12" s="11"/>
      <c r="AQJ12" s="11"/>
      <c r="AQK12" s="11"/>
      <c r="AQL12" s="11"/>
      <c r="AQM12" s="11"/>
      <c r="AQN12" s="11"/>
      <c r="AQO12" s="11"/>
      <c r="AQP12" s="11"/>
      <c r="AQQ12" s="11"/>
      <c r="AQR12" s="11"/>
      <c r="AQS12" s="11"/>
      <c r="AQT12" s="11"/>
      <c r="AQU12" s="11"/>
      <c r="AQV12" s="11"/>
      <c r="AQW12" s="11"/>
      <c r="AQX12" s="11"/>
      <c r="AQY12" s="11"/>
      <c r="AQZ12" s="11"/>
      <c r="ARA12" s="11"/>
      <c r="ARB12" s="11"/>
      <c r="ARC12" s="11"/>
      <c r="ARD12" s="11"/>
      <c r="ARE12" s="11"/>
      <c r="ARF12" s="11"/>
      <c r="ARG12" s="11"/>
      <c r="ARH12" s="11"/>
      <c r="ARI12" s="11"/>
      <c r="ARJ12" s="11"/>
      <c r="ARK12" s="11"/>
      <c r="ARL12" s="11"/>
      <c r="ARM12" s="11"/>
      <c r="ARN12" s="11"/>
      <c r="ARO12" s="11"/>
      <c r="ARP12" s="11"/>
      <c r="ARQ12" s="11"/>
      <c r="ARR12" s="11"/>
      <c r="ARS12" s="11"/>
      <c r="ART12" s="11"/>
      <c r="ARU12" s="11"/>
      <c r="ARV12" s="11"/>
      <c r="ARW12" s="11"/>
      <c r="ARX12" s="11"/>
      <c r="ARY12" s="11"/>
      <c r="ARZ12" s="11"/>
      <c r="ASA12" s="11"/>
      <c r="ASB12" s="11"/>
      <c r="ASC12" s="11"/>
      <c r="ASD12" s="11"/>
      <c r="ASE12" s="11"/>
      <c r="ASF12" s="11"/>
      <c r="ASG12" s="11"/>
      <c r="ASH12" s="11"/>
      <c r="ASI12" s="11"/>
      <c r="ASJ12" s="11"/>
      <c r="ASK12" s="11"/>
      <c r="ASL12" s="11"/>
      <c r="ASM12" s="11"/>
      <c r="ASN12" s="11"/>
      <c r="ASO12" s="11"/>
      <c r="ASP12" s="11"/>
      <c r="ASQ12" s="11"/>
      <c r="ASR12" s="11"/>
      <c r="ASS12" s="11"/>
      <c r="AST12" s="11"/>
      <c r="ASU12" s="11"/>
      <c r="ASV12" s="11"/>
      <c r="ASW12" s="11"/>
      <c r="ASX12" s="11"/>
      <c r="ASY12" s="11"/>
      <c r="ASZ12" s="11"/>
      <c r="ATA12" s="11"/>
      <c r="ATB12" s="11"/>
      <c r="ATC12" s="11"/>
      <c r="ATD12" s="11"/>
      <c r="ATE12" s="11"/>
      <c r="ATF12" s="11"/>
      <c r="ATG12" s="11"/>
      <c r="ATH12" s="11"/>
      <c r="ATI12" s="11"/>
      <c r="ATJ12" s="11"/>
      <c r="ATK12" s="11"/>
      <c r="ATL12" s="11"/>
      <c r="ATM12" s="11"/>
      <c r="ATN12" s="11"/>
      <c r="ATO12" s="11"/>
      <c r="ATP12" s="11"/>
      <c r="ATQ12" s="11"/>
      <c r="ATR12" s="11"/>
      <c r="ATS12" s="11"/>
      <c r="ATT12" s="11"/>
      <c r="ATU12" s="11"/>
      <c r="ATV12" s="11"/>
      <c r="ATW12" s="11"/>
      <c r="ATX12" s="11"/>
      <c r="ATY12" s="11"/>
      <c r="ATZ12" s="11"/>
      <c r="AUA12" s="11"/>
      <c r="AUB12" s="11"/>
      <c r="AUC12" s="11"/>
      <c r="AUD12" s="11"/>
      <c r="AUE12" s="11"/>
      <c r="AUF12" s="11"/>
      <c r="AUG12" s="11"/>
      <c r="AUH12" s="11"/>
      <c r="AUI12" s="11"/>
      <c r="AUJ12" s="11"/>
      <c r="AUK12" s="11"/>
      <c r="AUL12" s="11"/>
      <c r="AUM12" s="11"/>
      <c r="AUN12" s="11"/>
      <c r="AUO12" s="11"/>
      <c r="AUP12" s="11"/>
      <c r="AUQ12" s="11"/>
      <c r="AUR12" s="11"/>
      <c r="AUS12" s="11"/>
      <c r="AUT12" s="11"/>
      <c r="AUU12" s="11"/>
      <c r="AUV12" s="11"/>
      <c r="AUW12" s="11"/>
      <c r="AUX12" s="11"/>
      <c r="AUY12" s="11"/>
      <c r="AUZ12" s="11"/>
      <c r="AVA12" s="11"/>
      <c r="AVB12" s="11"/>
      <c r="AVC12" s="11"/>
      <c r="AVD12" s="11"/>
      <c r="AVE12" s="11"/>
      <c r="AVF12" s="11"/>
      <c r="AVG12" s="11"/>
      <c r="AVH12" s="11"/>
      <c r="AVI12" s="11"/>
      <c r="AVJ12" s="11"/>
      <c r="AVK12" s="11"/>
      <c r="AVL12" s="11"/>
      <c r="AVM12" s="11"/>
      <c r="AVN12" s="11"/>
      <c r="AVO12" s="11"/>
      <c r="AVP12" s="11"/>
      <c r="AVQ12" s="11"/>
      <c r="AVR12" s="11"/>
      <c r="AVS12" s="11"/>
      <c r="AVT12" s="11"/>
      <c r="AVU12" s="11"/>
      <c r="AVV12" s="11"/>
      <c r="AVW12" s="11"/>
      <c r="AVX12" s="11"/>
      <c r="AVY12" s="11"/>
      <c r="AVZ12" s="11"/>
      <c r="AWA12" s="11"/>
      <c r="AWB12" s="11"/>
      <c r="AWC12" s="11"/>
      <c r="AWD12" s="11"/>
      <c r="AWE12" s="11"/>
      <c r="AWF12" s="11"/>
      <c r="AWG12" s="11"/>
      <c r="AWH12" s="11"/>
      <c r="AWI12" s="11"/>
      <c r="AWJ12" s="11"/>
      <c r="AWK12" s="11"/>
      <c r="AWL12" s="11"/>
      <c r="AWM12" s="11"/>
      <c r="AWN12" s="11"/>
      <c r="AWO12" s="11"/>
      <c r="AWP12" s="11"/>
      <c r="AWQ12" s="11"/>
      <c r="AWR12" s="11"/>
      <c r="AWS12" s="11"/>
      <c r="AWT12" s="11"/>
      <c r="AWU12" s="11"/>
      <c r="AWV12" s="11"/>
      <c r="AWW12" s="11"/>
      <c r="AWX12" s="11"/>
      <c r="AWY12" s="11"/>
      <c r="AWZ12" s="11"/>
      <c r="AXA12" s="11"/>
      <c r="AXB12" s="11"/>
      <c r="AXC12" s="11"/>
      <c r="AXD12" s="11"/>
      <c r="AXE12" s="11"/>
      <c r="AXF12" s="11"/>
      <c r="AXG12" s="11"/>
      <c r="AXH12" s="11"/>
      <c r="AXI12" s="11"/>
      <c r="AXJ12" s="11"/>
      <c r="AXK12" s="11"/>
      <c r="AXL12" s="11"/>
      <c r="AXM12" s="11"/>
      <c r="AXN12" s="11"/>
      <c r="AXO12" s="11"/>
      <c r="AXP12" s="11"/>
      <c r="AXQ12" s="11"/>
      <c r="AXR12" s="11"/>
      <c r="AXS12" s="11"/>
      <c r="AXT12" s="11"/>
      <c r="AXU12" s="11"/>
      <c r="AXV12" s="11"/>
      <c r="AXW12" s="11"/>
      <c r="AXX12" s="11"/>
      <c r="AXY12" s="11"/>
      <c r="AXZ12" s="11"/>
      <c r="AYA12" s="11"/>
      <c r="AYB12" s="11"/>
      <c r="AYC12" s="11"/>
      <c r="AYD12" s="11"/>
      <c r="AYE12" s="11"/>
      <c r="AYF12" s="11"/>
      <c r="AYG12" s="11"/>
      <c r="AYH12" s="11"/>
      <c r="AYI12" s="11"/>
      <c r="AYJ12" s="11"/>
      <c r="AYK12" s="11"/>
      <c r="AYL12" s="11"/>
      <c r="AYM12" s="11"/>
      <c r="AYN12" s="11"/>
      <c r="AYO12" s="11"/>
      <c r="AYP12" s="11"/>
      <c r="AYQ12" s="11"/>
      <c r="AYR12" s="11"/>
      <c r="AYS12" s="11"/>
      <c r="AYT12" s="11"/>
      <c r="AYU12" s="11"/>
      <c r="AYV12" s="11"/>
      <c r="AYW12" s="11"/>
      <c r="AYX12" s="11"/>
      <c r="AYY12" s="11"/>
      <c r="AYZ12" s="11"/>
      <c r="AZA12" s="11"/>
      <c r="AZB12" s="11"/>
      <c r="AZC12" s="11"/>
      <c r="AZD12" s="11"/>
      <c r="AZE12" s="11"/>
      <c r="AZF12" s="11"/>
      <c r="AZG12" s="11"/>
      <c r="AZH12" s="11"/>
      <c r="AZI12" s="11"/>
      <c r="AZJ12" s="11"/>
      <c r="AZK12" s="11"/>
      <c r="AZL12" s="11"/>
      <c r="AZM12" s="11"/>
      <c r="AZN12" s="11"/>
      <c r="AZO12" s="11"/>
      <c r="AZP12" s="11"/>
      <c r="AZQ12" s="11"/>
      <c r="AZR12" s="11"/>
      <c r="AZS12" s="11"/>
      <c r="AZT12" s="11"/>
      <c r="AZU12" s="11"/>
      <c r="AZV12" s="11"/>
      <c r="AZW12" s="11"/>
      <c r="AZX12" s="11"/>
      <c r="AZY12" s="11"/>
      <c r="AZZ12" s="11"/>
      <c r="BAA12" s="11"/>
      <c r="BAB12" s="11"/>
      <c r="BAC12" s="11"/>
      <c r="BAD12" s="11"/>
      <c r="BAE12" s="11"/>
      <c r="BAF12" s="11"/>
      <c r="BAG12" s="11"/>
      <c r="BAH12" s="11"/>
      <c r="BAI12" s="11"/>
      <c r="BAJ12" s="11"/>
      <c r="BAK12" s="11"/>
      <c r="BAL12" s="11"/>
      <c r="BAM12" s="11"/>
      <c r="BAN12" s="11"/>
      <c r="BAO12" s="11"/>
      <c r="BAP12" s="11"/>
      <c r="BAQ12" s="11"/>
      <c r="BAR12" s="11"/>
      <c r="BAS12" s="11"/>
      <c r="BAT12" s="11"/>
      <c r="BAU12" s="11"/>
      <c r="BAV12" s="11"/>
      <c r="BAW12" s="11"/>
      <c r="BAX12" s="11"/>
      <c r="BAY12" s="11"/>
      <c r="BAZ12" s="11"/>
      <c r="BBA12" s="11"/>
      <c r="BBB12" s="11"/>
      <c r="BBC12" s="11"/>
      <c r="BBD12" s="11"/>
      <c r="BBE12" s="11"/>
      <c r="BBF12" s="11"/>
      <c r="BBG12" s="11"/>
      <c r="BBH12" s="11"/>
      <c r="BBI12" s="11"/>
      <c r="BBJ12" s="11"/>
      <c r="BBK12" s="11"/>
      <c r="BBL12" s="11"/>
      <c r="BBM12" s="11"/>
      <c r="BBN12" s="11"/>
      <c r="BBO12" s="11"/>
      <c r="BBP12" s="11"/>
      <c r="BBQ12" s="11"/>
      <c r="BBR12" s="11"/>
      <c r="BBS12" s="11"/>
      <c r="BBT12" s="11"/>
      <c r="BBU12" s="11"/>
      <c r="BBV12" s="11"/>
      <c r="BBW12" s="11"/>
      <c r="BBX12" s="11"/>
      <c r="BBY12" s="11"/>
      <c r="BBZ12" s="11"/>
      <c r="BCA12" s="11"/>
      <c r="BCB12" s="11"/>
      <c r="BCC12" s="11"/>
      <c r="BCD12" s="11"/>
      <c r="BCE12" s="11"/>
      <c r="BCF12" s="11"/>
      <c r="BCG12" s="11"/>
      <c r="BCH12" s="11"/>
      <c r="BCI12" s="11"/>
      <c r="BCJ12" s="11"/>
      <c r="BCK12" s="11"/>
      <c r="BCL12" s="11"/>
      <c r="BCM12" s="11"/>
      <c r="BCN12" s="11"/>
      <c r="BCO12" s="11"/>
      <c r="BCP12" s="11"/>
      <c r="BCQ12" s="11"/>
      <c r="BCR12" s="11"/>
      <c r="BCS12" s="11"/>
      <c r="BCT12" s="11"/>
      <c r="BCU12" s="11"/>
      <c r="BCV12" s="11"/>
      <c r="BCW12" s="11"/>
      <c r="BCX12" s="11"/>
      <c r="BCY12" s="11"/>
      <c r="BCZ12" s="11"/>
      <c r="BDA12" s="11"/>
      <c r="BDB12" s="11"/>
      <c r="BDC12" s="11"/>
      <c r="BDD12" s="11"/>
      <c r="BDE12" s="11"/>
      <c r="BDF12" s="11"/>
      <c r="BDG12" s="11"/>
      <c r="BDH12" s="11"/>
      <c r="BDI12" s="11"/>
      <c r="BDJ12" s="11"/>
      <c r="BDK12" s="11"/>
      <c r="BDL12" s="11"/>
      <c r="BDM12" s="11"/>
      <c r="BDN12" s="11"/>
      <c r="BDO12" s="11"/>
      <c r="BDP12" s="11"/>
      <c r="BDQ12" s="11"/>
      <c r="BDR12" s="11"/>
      <c r="BDS12" s="11"/>
      <c r="BDT12" s="11"/>
      <c r="BDU12" s="11"/>
      <c r="BDV12" s="11"/>
      <c r="BDW12" s="11"/>
      <c r="BDX12" s="11"/>
      <c r="BDY12" s="11"/>
      <c r="BDZ12" s="11"/>
      <c r="BEA12" s="11"/>
      <c r="BEB12" s="11"/>
      <c r="BEC12" s="11"/>
      <c r="BED12" s="11"/>
      <c r="BEE12" s="11"/>
      <c r="BEF12" s="11"/>
      <c r="BEG12" s="11"/>
      <c r="BEH12" s="11"/>
      <c r="BEI12" s="11"/>
      <c r="BEJ12" s="11"/>
      <c r="BEK12" s="11"/>
      <c r="BEL12" s="11"/>
      <c r="BEM12" s="11"/>
      <c r="BEN12" s="11"/>
      <c r="BEO12" s="11"/>
      <c r="BEP12" s="11"/>
      <c r="BEQ12" s="11"/>
      <c r="BER12" s="11"/>
      <c r="BES12" s="11"/>
      <c r="BET12" s="11"/>
      <c r="BEU12" s="11"/>
      <c r="BEV12" s="11"/>
      <c r="BEW12" s="11"/>
      <c r="BEX12" s="11"/>
      <c r="BEY12" s="11"/>
      <c r="BEZ12" s="11"/>
      <c r="BFA12" s="11"/>
      <c r="BFB12" s="11"/>
      <c r="BFC12" s="11"/>
      <c r="BFD12" s="11"/>
      <c r="BFE12" s="11"/>
      <c r="BFF12" s="11"/>
      <c r="BFG12" s="11"/>
      <c r="BFH12" s="11"/>
      <c r="BFI12" s="11"/>
      <c r="BFJ12" s="11"/>
      <c r="BFK12" s="11"/>
      <c r="BFL12" s="11"/>
      <c r="BFM12" s="11"/>
      <c r="BFN12" s="11"/>
      <c r="BFO12" s="11"/>
      <c r="BFP12" s="11"/>
      <c r="BFQ12" s="11"/>
      <c r="BFR12" s="11"/>
      <c r="BFS12" s="11"/>
      <c r="BFT12" s="11"/>
      <c r="BFU12" s="11"/>
      <c r="BFV12" s="11"/>
      <c r="BFW12" s="11"/>
      <c r="BFX12" s="11"/>
      <c r="BFY12" s="11"/>
      <c r="BFZ12" s="11"/>
      <c r="BGA12" s="11"/>
      <c r="BGB12" s="11"/>
      <c r="BGC12" s="11"/>
      <c r="BGD12" s="11"/>
      <c r="BGE12" s="11"/>
      <c r="BGF12" s="11"/>
      <c r="BGG12" s="11"/>
      <c r="BGH12" s="11"/>
      <c r="BGI12" s="11"/>
      <c r="BGJ12" s="11"/>
      <c r="BGK12" s="11"/>
      <c r="BGL12" s="11"/>
      <c r="BGM12" s="11"/>
      <c r="BGN12" s="11"/>
      <c r="BGO12" s="11"/>
      <c r="BGP12" s="11"/>
      <c r="BGQ12" s="11"/>
      <c r="BGR12" s="11"/>
      <c r="BGS12" s="11"/>
      <c r="BGT12" s="11"/>
      <c r="BGU12" s="11"/>
      <c r="BGV12" s="11"/>
      <c r="BGW12" s="11"/>
      <c r="BGX12" s="11"/>
      <c r="BGY12" s="11"/>
      <c r="BGZ12" s="11"/>
      <c r="BHA12" s="11"/>
      <c r="BHB12" s="11"/>
      <c r="BHC12" s="11"/>
      <c r="BHD12" s="11"/>
      <c r="BHE12" s="11"/>
      <c r="BHF12" s="11"/>
      <c r="BHG12" s="11"/>
      <c r="BHH12" s="11"/>
      <c r="BHI12" s="11"/>
      <c r="BHJ12" s="11"/>
      <c r="BHK12" s="11"/>
      <c r="BHL12" s="11"/>
      <c r="BHM12" s="11"/>
      <c r="BHN12" s="11"/>
      <c r="BHO12" s="11"/>
      <c r="BHP12" s="11"/>
      <c r="BHQ12" s="11"/>
      <c r="BHR12" s="11"/>
      <c r="BHS12" s="11"/>
      <c r="BHT12" s="11"/>
      <c r="BHU12" s="11"/>
      <c r="BHV12" s="11"/>
      <c r="BHW12" s="11"/>
      <c r="BHX12" s="11"/>
      <c r="BHY12" s="11"/>
      <c r="BHZ12" s="11"/>
      <c r="BIA12" s="11"/>
      <c r="BIB12" s="11"/>
      <c r="BIC12" s="11"/>
      <c r="BID12" s="11"/>
      <c r="BIE12" s="11"/>
      <c r="BIF12" s="11"/>
      <c r="BIG12" s="11"/>
      <c r="BIH12" s="11"/>
      <c r="BII12" s="11"/>
      <c r="BIJ12" s="11"/>
      <c r="BIK12" s="11"/>
      <c r="BIL12" s="11"/>
      <c r="BIM12" s="11"/>
      <c r="BIN12" s="11"/>
      <c r="BIO12" s="11"/>
      <c r="BIP12" s="11"/>
      <c r="BIQ12" s="11"/>
      <c r="BIR12" s="11"/>
      <c r="BIS12" s="11"/>
      <c r="BIT12" s="11"/>
      <c r="BIU12" s="11"/>
      <c r="BIV12" s="11"/>
      <c r="BIW12" s="11"/>
      <c r="BIX12" s="11"/>
      <c r="BIY12" s="11"/>
      <c r="BIZ12" s="11"/>
      <c r="BJA12" s="11"/>
      <c r="BJB12" s="11"/>
      <c r="BJC12" s="11"/>
      <c r="BJD12" s="11"/>
      <c r="BJE12" s="11"/>
      <c r="BJF12" s="11"/>
      <c r="BJG12" s="11"/>
      <c r="BJH12" s="11"/>
      <c r="BJI12" s="11"/>
      <c r="BJJ12" s="11"/>
      <c r="BJK12" s="11"/>
      <c r="BJL12" s="11"/>
      <c r="BJM12" s="11"/>
      <c r="BJN12" s="11"/>
      <c r="BJO12" s="11"/>
      <c r="BJP12" s="11"/>
      <c r="BJQ12" s="11"/>
      <c r="BJR12" s="11"/>
      <c r="BJS12" s="11"/>
      <c r="BJT12" s="11"/>
      <c r="BJU12" s="11"/>
      <c r="BJV12" s="11"/>
      <c r="BJW12" s="11"/>
      <c r="BJX12" s="11"/>
      <c r="BJY12" s="11"/>
      <c r="BJZ12" s="11"/>
      <c r="BKA12" s="11"/>
      <c r="BKB12" s="11"/>
      <c r="BKC12" s="11"/>
      <c r="BKD12" s="11"/>
      <c r="BKE12" s="11"/>
      <c r="BKF12" s="11"/>
      <c r="BKG12" s="11"/>
      <c r="BKH12" s="11"/>
      <c r="BKI12" s="11"/>
      <c r="BKJ12" s="11"/>
      <c r="BKK12" s="11"/>
      <c r="BKL12" s="11"/>
      <c r="BKM12" s="11"/>
      <c r="BKN12" s="11"/>
      <c r="BKO12" s="11"/>
      <c r="BKP12" s="11"/>
      <c r="BKQ12" s="11"/>
      <c r="BKR12" s="11"/>
      <c r="BKS12" s="11"/>
      <c r="BKT12" s="11"/>
      <c r="BKU12" s="11"/>
      <c r="BKV12" s="11"/>
      <c r="BKW12" s="11"/>
      <c r="BKX12" s="11"/>
      <c r="BKY12" s="11"/>
      <c r="BKZ12" s="11"/>
      <c r="BLA12" s="11"/>
      <c r="BLB12" s="11"/>
      <c r="BLC12" s="11"/>
      <c r="BLD12" s="11"/>
      <c r="BLE12" s="11"/>
      <c r="BLF12" s="11"/>
      <c r="BLG12" s="11"/>
      <c r="BLH12" s="11"/>
      <c r="BLI12" s="11"/>
      <c r="BLJ12" s="11"/>
      <c r="BLK12" s="11"/>
      <c r="BLL12" s="11"/>
      <c r="BLM12" s="11"/>
      <c r="BLN12" s="11"/>
      <c r="BLO12" s="11"/>
      <c r="BLP12" s="11"/>
      <c r="BLQ12" s="11"/>
      <c r="BLR12" s="11"/>
      <c r="BLS12" s="11"/>
      <c r="BLT12" s="11"/>
      <c r="BLU12" s="11"/>
      <c r="BLV12" s="11"/>
      <c r="BLW12" s="11"/>
      <c r="BLX12" s="11"/>
      <c r="BLY12" s="11"/>
      <c r="BLZ12" s="11"/>
      <c r="BMA12" s="11"/>
      <c r="BMB12" s="11"/>
      <c r="BMC12" s="11"/>
      <c r="BMD12" s="11"/>
      <c r="BME12" s="11"/>
      <c r="BMF12" s="11"/>
      <c r="BMG12" s="11"/>
      <c r="BMH12" s="11"/>
      <c r="BMI12" s="11"/>
      <c r="BMJ12" s="11"/>
      <c r="BMK12" s="11"/>
      <c r="BML12" s="11"/>
      <c r="BMM12" s="11"/>
      <c r="BMN12" s="11"/>
      <c r="BMO12" s="11"/>
      <c r="BMP12" s="11"/>
      <c r="BMQ12" s="11"/>
      <c r="BMR12" s="11"/>
      <c r="BMS12" s="11"/>
      <c r="BMT12" s="11"/>
      <c r="BMU12" s="11"/>
      <c r="BMV12" s="11"/>
      <c r="BMW12" s="11"/>
      <c r="BMX12" s="11"/>
      <c r="BMY12" s="11"/>
      <c r="BMZ12" s="11"/>
      <c r="BNA12" s="11"/>
      <c r="BNB12" s="11"/>
      <c r="BNC12" s="11"/>
      <c r="BND12" s="11"/>
      <c r="BNE12" s="11"/>
      <c r="BNF12" s="11"/>
      <c r="BNG12" s="11"/>
      <c r="BNH12" s="11"/>
      <c r="BNI12" s="11"/>
      <c r="BNJ12" s="11"/>
      <c r="BNK12" s="11"/>
      <c r="BNL12" s="11"/>
      <c r="BNM12" s="11"/>
      <c r="BNN12" s="11"/>
      <c r="BNO12" s="11"/>
      <c r="BNP12" s="11"/>
      <c r="BNQ12" s="11"/>
      <c r="BNR12" s="11"/>
      <c r="BNS12" s="11"/>
      <c r="BNT12" s="11"/>
      <c r="BNU12" s="11"/>
      <c r="BNV12" s="11"/>
      <c r="BNW12" s="11"/>
      <c r="BNX12" s="11"/>
      <c r="BNY12" s="11"/>
      <c r="BNZ12" s="11"/>
      <c r="BOA12" s="11"/>
      <c r="BOB12" s="11"/>
      <c r="BOC12" s="11"/>
      <c r="BOD12" s="11"/>
      <c r="BOE12" s="11"/>
      <c r="BOF12" s="11"/>
      <c r="BOG12" s="11"/>
      <c r="BOH12" s="11"/>
      <c r="BOI12" s="11"/>
      <c r="BOJ12" s="11"/>
      <c r="BOK12" s="11"/>
      <c r="BOL12" s="11"/>
      <c r="BOM12" s="11"/>
      <c r="BON12" s="11"/>
      <c r="BOO12" s="11"/>
      <c r="BOP12" s="11"/>
      <c r="BOQ12" s="11"/>
      <c r="BOR12" s="11"/>
      <c r="BOS12" s="11"/>
      <c r="BOT12" s="11"/>
      <c r="BOU12" s="11"/>
      <c r="BOV12" s="11"/>
      <c r="BOW12" s="11"/>
      <c r="BOX12" s="11"/>
      <c r="BOY12" s="11"/>
      <c r="BOZ12" s="11"/>
      <c r="BPA12" s="11"/>
      <c r="BPB12" s="11"/>
      <c r="BPC12" s="11"/>
      <c r="BPD12" s="11"/>
      <c r="BPE12" s="11"/>
      <c r="BPF12" s="11"/>
      <c r="BPG12" s="11"/>
      <c r="BPH12" s="11"/>
      <c r="BPI12" s="11"/>
      <c r="BPJ12" s="11"/>
      <c r="BPK12" s="11"/>
      <c r="BPL12" s="11"/>
      <c r="BPM12" s="11"/>
      <c r="BPN12" s="11"/>
      <c r="BPO12" s="11"/>
      <c r="BPP12" s="11"/>
      <c r="BPQ12" s="11"/>
      <c r="BPR12" s="11"/>
      <c r="BPS12" s="11"/>
      <c r="BPT12" s="11"/>
      <c r="BPU12" s="11"/>
      <c r="BPV12" s="11"/>
      <c r="BPW12" s="11"/>
      <c r="BPX12" s="11"/>
      <c r="BPY12" s="11"/>
      <c r="BPZ12" s="11"/>
      <c r="BQA12" s="11"/>
      <c r="BQB12" s="11"/>
      <c r="BQC12" s="11"/>
      <c r="BQD12" s="11"/>
      <c r="BQE12" s="11"/>
      <c r="BQF12" s="11"/>
      <c r="BQG12" s="11"/>
      <c r="BQH12" s="11"/>
      <c r="BQI12" s="11"/>
      <c r="BQJ12" s="11"/>
      <c r="BQK12" s="11"/>
      <c r="BQL12" s="11"/>
      <c r="BQM12" s="11"/>
      <c r="BQN12" s="11"/>
      <c r="BQO12" s="11"/>
      <c r="BQP12" s="11"/>
      <c r="BQQ12" s="11"/>
      <c r="BQR12" s="11"/>
      <c r="BQS12" s="11"/>
      <c r="BQT12" s="11"/>
      <c r="BQU12" s="11"/>
      <c r="BQV12" s="11"/>
      <c r="BQW12" s="11"/>
      <c r="BQX12" s="11"/>
      <c r="BQY12" s="11"/>
      <c r="BQZ12" s="11"/>
      <c r="BRA12" s="11"/>
      <c r="BRB12" s="11"/>
      <c r="BRC12" s="11"/>
      <c r="BRD12" s="11"/>
      <c r="BRE12" s="11"/>
      <c r="BRF12" s="11"/>
      <c r="BRG12" s="11"/>
      <c r="BRH12" s="11"/>
      <c r="BRI12" s="11"/>
      <c r="BRJ12" s="11"/>
      <c r="BRK12" s="11"/>
      <c r="BRL12" s="11"/>
      <c r="BRM12" s="11"/>
      <c r="BRN12" s="11"/>
      <c r="BRO12" s="11"/>
      <c r="BRP12" s="11"/>
      <c r="BRQ12" s="11"/>
      <c r="BRR12" s="11"/>
      <c r="BRS12" s="11"/>
      <c r="BRT12" s="11"/>
      <c r="BRU12" s="11"/>
      <c r="BRV12" s="11"/>
      <c r="BRW12" s="11"/>
      <c r="BRX12" s="11"/>
      <c r="BRY12" s="11"/>
      <c r="BRZ12" s="11"/>
      <c r="BSA12" s="11"/>
      <c r="BSB12" s="11"/>
      <c r="BSC12" s="11"/>
      <c r="BSD12" s="11"/>
    </row>
    <row r="13" spans="1:1850" s="31" customFormat="1" ht="18" customHeight="1">
      <c r="A13" s="91" t="s">
        <v>14</v>
      </c>
      <c r="B13" s="21"/>
      <c r="C13" s="22">
        <v>41528</v>
      </c>
      <c r="D13" s="23">
        <f>D12</f>
        <v>41588</v>
      </c>
      <c r="E13" s="24" t="str">
        <f>(ROUNDUP(D13-C13,0)+1) &amp; " days"</f>
        <v>61 days</v>
      </c>
      <c r="F13" s="25"/>
      <c r="G13" s="26"/>
      <c r="H13" s="26"/>
      <c r="I13" s="26"/>
      <c r="J13" s="26"/>
      <c r="K13" s="26"/>
      <c r="L13" s="27"/>
      <c r="M13" s="27"/>
      <c r="N13" s="27"/>
      <c r="O13" s="27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9"/>
      <c r="CS13" s="30"/>
      <c r="CT13" s="30"/>
      <c r="CU13" s="30"/>
      <c r="CV13" s="30"/>
      <c r="CW13" s="30"/>
      <c r="CX13" s="30"/>
      <c r="CY13" s="30"/>
      <c r="CZ13" s="30"/>
      <c r="DA13" s="30"/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/>
      <c r="DW13" s="30"/>
      <c r="DX13" s="30"/>
      <c r="DY13" s="30"/>
      <c r="DZ13" s="30"/>
      <c r="EA13" s="30"/>
      <c r="EB13" s="30"/>
      <c r="EC13" s="30"/>
      <c r="ED13" s="30"/>
      <c r="EE13" s="30"/>
      <c r="EF13" s="30"/>
      <c r="EG13" s="30"/>
      <c r="EH13" s="30"/>
      <c r="EI13" s="30"/>
      <c r="EJ13" s="30"/>
      <c r="EK13" s="30"/>
      <c r="EL13" s="30"/>
      <c r="EM13" s="30"/>
      <c r="EN13" s="30"/>
      <c r="EO13" s="30"/>
      <c r="EP13" s="30"/>
      <c r="EQ13" s="30"/>
      <c r="ER13" s="30"/>
      <c r="ES13" s="30"/>
      <c r="ET13" s="30"/>
      <c r="EU13" s="30"/>
      <c r="EV13" s="30"/>
      <c r="EW13" s="30"/>
      <c r="EX13" s="30"/>
      <c r="EY13" s="30"/>
      <c r="EZ13" s="30"/>
      <c r="FA13" s="30"/>
      <c r="FB13" s="30"/>
      <c r="FC13" s="30"/>
      <c r="FD13" s="30"/>
      <c r="FE13" s="30"/>
      <c r="FF13" s="30"/>
      <c r="FG13" s="30"/>
      <c r="FH13" s="30"/>
      <c r="FI13" s="30"/>
      <c r="FJ13" s="30"/>
      <c r="FK13" s="30"/>
      <c r="FL13" s="30"/>
      <c r="FM13" s="30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30"/>
      <c r="JK13" s="30"/>
      <c r="JL13" s="30"/>
      <c r="JM13" s="30"/>
      <c r="JN13" s="30"/>
      <c r="JO13" s="30"/>
      <c r="JP13" s="30"/>
      <c r="JQ13" s="30"/>
      <c r="JR13" s="30"/>
      <c r="JS13" s="30"/>
      <c r="JT13" s="30"/>
      <c r="JU13" s="30"/>
      <c r="JV13" s="30"/>
      <c r="JW13" s="30"/>
      <c r="JX13" s="30"/>
      <c r="JY13" s="30"/>
      <c r="JZ13" s="30"/>
      <c r="KA13" s="30"/>
      <c r="KB13" s="30"/>
      <c r="KC13" s="30"/>
      <c r="KD13" s="30"/>
      <c r="KE13" s="30"/>
      <c r="KF13" s="30"/>
      <c r="KG13" s="30"/>
      <c r="KH13" s="30"/>
      <c r="KI13" s="30"/>
      <c r="KJ13" s="30"/>
      <c r="KK13" s="30"/>
      <c r="KL13" s="30"/>
      <c r="KM13" s="30"/>
      <c r="KN13" s="30"/>
      <c r="KO13" s="30"/>
      <c r="KP13" s="30"/>
      <c r="KQ13" s="30"/>
      <c r="KR13" s="30"/>
      <c r="KS13" s="30"/>
      <c r="KT13" s="30"/>
      <c r="KU13" s="30"/>
      <c r="KV13" s="30"/>
      <c r="KW13" s="30"/>
      <c r="KX13" s="30"/>
      <c r="KY13" s="30"/>
      <c r="KZ13" s="30"/>
      <c r="LA13" s="30"/>
      <c r="LB13" s="30"/>
      <c r="LC13" s="30"/>
      <c r="LD13" s="30"/>
      <c r="LE13" s="30"/>
      <c r="LF13" s="30"/>
      <c r="LG13" s="30"/>
      <c r="LH13" s="30"/>
      <c r="LI13" s="30"/>
      <c r="LJ13" s="30"/>
      <c r="LK13" s="30"/>
      <c r="LL13" s="30"/>
      <c r="LM13" s="30"/>
      <c r="LN13" s="30"/>
      <c r="LO13" s="30"/>
      <c r="LP13" s="30"/>
      <c r="LQ13" s="30"/>
      <c r="LR13" s="30"/>
      <c r="LS13" s="30"/>
      <c r="LT13" s="30"/>
      <c r="LU13" s="30"/>
      <c r="LV13" s="30"/>
      <c r="LW13" s="30"/>
      <c r="LX13" s="30"/>
      <c r="LY13" s="30"/>
      <c r="LZ13" s="30"/>
      <c r="MA13" s="30"/>
      <c r="MB13" s="30"/>
      <c r="MC13" s="30"/>
      <c r="MD13" s="30"/>
      <c r="ME13" s="30"/>
      <c r="MF13" s="30"/>
      <c r="MG13" s="30"/>
      <c r="MH13" s="30"/>
      <c r="MI13" s="30"/>
      <c r="MJ13" s="30"/>
      <c r="MK13" s="30"/>
      <c r="ML13" s="30"/>
      <c r="MM13" s="30"/>
      <c r="MN13" s="30"/>
      <c r="MO13" s="30"/>
      <c r="MP13" s="30"/>
      <c r="MQ13" s="30"/>
      <c r="MR13" s="30"/>
      <c r="MS13" s="30"/>
      <c r="MT13" s="30"/>
      <c r="MU13" s="30"/>
      <c r="MV13" s="30"/>
      <c r="MW13" s="30"/>
      <c r="MX13" s="30"/>
      <c r="MY13" s="30"/>
      <c r="MZ13" s="30"/>
      <c r="NA13" s="30"/>
      <c r="NB13" s="30"/>
      <c r="NC13" s="30"/>
      <c r="ND13" s="30"/>
      <c r="NE13" s="30"/>
      <c r="NF13" s="30"/>
      <c r="NG13" s="30"/>
      <c r="NH13" s="30"/>
      <c r="NI13" s="30"/>
      <c r="NJ13" s="30"/>
      <c r="NK13" s="30"/>
      <c r="NL13" s="30"/>
      <c r="NM13" s="30"/>
      <c r="NN13" s="30"/>
      <c r="NO13" s="30"/>
      <c r="NP13" s="30"/>
      <c r="NQ13" s="30"/>
      <c r="NR13" s="30"/>
      <c r="NS13" s="30"/>
      <c r="NT13" s="30"/>
      <c r="NU13" s="30"/>
      <c r="NV13" s="30"/>
      <c r="NW13" s="30"/>
      <c r="NX13" s="30"/>
      <c r="NY13" s="30"/>
      <c r="NZ13" s="30"/>
      <c r="OA13" s="30"/>
      <c r="OB13" s="30"/>
      <c r="OC13" s="30"/>
      <c r="OD13" s="30"/>
      <c r="OE13" s="30"/>
      <c r="OF13" s="30"/>
      <c r="OG13" s="30"/>
      <c r="OH13" s="30"/>
      <c r="OI13" s="30"/>
      <c r="OJ13" s="30"/>
      <c r="OK13" s="30"/>
      <c r="OL13" s="30"/>
      <c r="OM13" s="30"/>
      <c r="ON13" s="30"/>
      <c r="OO13" s="30"/>
      <c r="OP13" s="30"/>
      <c r="OQ13" s="30"/>
      <c r="OR13" s="30"/>
      <c r="OS13" s="30"/>
      <c r="OT13" s="30"/>
      <c r="OU13" s="30"/>
      <c r="OV13" s="30"/>
      <c r="OW13" s="30"/>
      <c r="OX13" s="30"/>
      <c r="OY13" s="30"/>
      <c r="OZ13" s="30"/>
      <c r="PA13" s="30"/>
      <c r="PB13" s="30"/>
      <c r="PC13" s="30"/>
      <c r="PD13" s="30"/>
      <c r="PE13" s="30"/>
      <c r="PF13" s="30"/>
      <c r="PG13" s="30"/>
      <c r="PH13" s="30"/>
      <c r="PI13" s="30"/>
      <c r="PJ13" s="30"/>
      <c r="PK13" s="30"/>
      <c r="PL13" s="30"/>
      <c r="PM13" s="30"/>
      <c r="PN13" s="30"/>
      <c r="PO13" s="30"/>
      <c r="PP13" s="30"/>
      <c r="PQ13" s="30"/>
      <c r="PR13" s="30"/>
      <c r="PS13" s="30"/>
      <c r="PT13" s="30"/>
      <c r="PU13" s="30"/>
      <c r="PV13" s="30"/>
      <c r="PW13" s="30"/>
      <c r="PX13" s="30"/>
      <c r="PY13" s="30"/>
      <c r="PZ13" s="30"/>
      <c r="QA13" s="30"/>
      <c r="QB13" s="30"/>
      <c r="QC13" s="30"/>
      <c r="QD13" s="30"/>
      <c r="QE13" s="30"/>
      <c r="QF13" s="30"/>
      <c r="QG13" s="30"/>
      <c r="QH13" s="30"/>
      <c r="QI13" s="30"/>
      <c r="QJ13" s="30"/>
      <c r="QK13" s="30"/>
      <c r="QL13" s="30"/>
      <c r="QM13" s="30"/>
      <c r="QN13" s="30"/>
      <c r="QO13" s="30"/>
      <c r="QP13" s="30"/>
      <c r="QQ13" s="30"/>
      <c r="QR13" s="30"/>
      <c r="QS13" s="30"/>
      <c r="QT13" s="30"/>
      <c r="QU13" s="30"/>
      <c r="QV13" s="30"/>
      <c r="QW13" s="30"/>
      <c r="QX13" s="30"/>
      <c r="QY13" s="30"/>
      <c r="QZ13" s="30"/>
      <c r="RA13" s="30"/>
      <c r="RB13" s="30"/>
      <c r="RC13" s="30"/>
      <c r="RD13" s="30"/>
      <c r="RE13" s="30"/>
      <c r="RF13" s="30"/>
      <c r="RG13" s="30"/>
      <c r="RH13" s="30"/>
      <c r="RI13" s="30"/>
      <c r="RJ13" s="30"/>
      <c r="RK13" s="30"/>
      <c r="RL13" s="30"/>
      <c r="RM13" s="30"/>
      <c r="RN13" s="30"/>
      <c r="RO13" s="30"/>
      <c r="RP13" s="30"/>
      <c r="RQ13" s="30"/>
      <c r="RR13" s="30"/>
      <c r="RS13" s="30"/>
      <c r="RT13" s="30"/>
      <c r="RU13" s="30"/>
      <c r="RV13" s="30"/>
      <c r="RW13" s="30"/>
      <c r="RX13" s="30"/>
      <c r="RY13" s="30"/>
      <c r="RZ13" s="30"/>
      <c r="SA13" s="30"/>
      <c r="SB13" s="30"/>
      <c r="SC13" s="30"/>
      <c r="SD13" s="30"/>
      <c r="SE13" s="30"/>
      <c r="SF13" s="30"/>
      <c r="SG13" s="30"/>
      <c r="SH13" s="30"/>
      <c r="SI13" s="30"/>
      <c r="SJ13" s="30"/>
      <c r="SK13" s="30"/>
      <c r="SL13" s="30"/>
      <c r="SM13" s="30"/>
      <c r="SN13" s="30"/>
      <c r="SO13" s="30"/>
      <c r="SP13" s="30"/>
      <c r="SQ13" s="30"/>
      <c r="SR13" s="30"/>
      <c r="SS13" s="30"/>
      <c r="ST13" s="30"/>
      <c r="SU13" s="30"/>
      <c r="SV13" s="30"/>
      <c r="SW13" s="30"/>
      <c r="SX13" s="30"/>
      <c r="SY13" s="30"/>
      <c r="SZ13" s="30"/>
      <c r="TA13" s="30"/>
      <c r="TB13" s="30"/>
      <c r="TC13" s="30"/>
      <c r="TD13" s="30"/>
      <c r="TE13" s="30"/>
      <c r="TF13" s="30"/>
      <c r="TG13" s="30"/>
      <c r="TH13" s="30"/>
      <c r="TI13" s="30"/>
      <c r="TJ13" s="30"/>
      <c r="TK13" s="30"/>
      <c r="TL13" s="30"/>
      <c r="TM13" s="30"/>
      <c r="TN13" s="30"/>
      <c r="TO13" s="30"/>
      <c r="TP13" s="30"/>
      <c r="TQ13" s="30"/>
      <c r="TR13" s="30"/>
      <c r="TS13" s="30"/>
      <c r="TT13" s="30"/>
      <c r="TU13" s="30"/>
      <c r="TV13" s="30"/>
      <c r="TW13" s="30"/>
      <c r="TX13" s="30"/>
      <c r="TY13" s="30"/>
      <c r="TZ13" s="30"/>
      <c r="UA13" s="30"/>
      <c r="UB13" s="30"/>
      <c r="UC13" s="30"/>
      <c r="UD13" s="30"/>
      <c r="UE13" s="30"/>
      <c r="UF13" s="30"/>
      <c r="UG13" s="30"/>
      <c r="UH13" s="30"/>
      <c r="UI13" s="30"/>
      <c r="UJ13" s="30"/>
      <c r="UK13" s="30"/>
      <c r="UL13" s="30"/>
      <c r="UM13" s="30"/>
      <c r="UN13" s="30"/>
      <c r="UO13" s="30"/>
      <c r="UP13" s="30"/>
      <c r="UQ13" s="30"/>
      <c r="UR13" s="30"/>
      <c r="US13" s="30"/>
      <c r="UT13" s="30"/>
      <c r="UU13" s="30"/>
      <c r="UV13" s="30"/>
      <c r="UW13" s="30"/>
      <c r="UX13" s="30"/>
      <c r="UY13" s="30"/>
      <c r="UZ13" s="30"/>
      <c r="VA13" s="30"/>
      <c r="VB13" s="30"/>
      <c r="VC13" s="30"/>
      <c r="VD13" s="30"/>
      <c r="VE13" s="30"/>
      <c r="VF13" s="30"/>
      <c r="VG13" s="30"/>
      <c r="VH13" s="30"/>
      <c r="VI13" s="30"/>
      <c r="VJ13" s="30"/>
      <c r="VK13" s="30"/>
      <c r="VL13" s="30"/>
      <c r="VM13" s="30"/>
      <c r="VN13" s="30"/>
      <c r="VO13" s="30"/>
      <c r="VP13" s="30"/>
      <c r="VQ13" s="30"/>
      <c r="VR13" s="30"/>
      <c r="VS13" s="30"/>
      <c r="VT13" s="30"/>
      <c r="VU13" s="30"/>
      <c r="VV13" s="30"/>
      <c r="VW13" s="30"/>
      <c r="VX13" s="30"/>
      <c r="VY13" s="30"/>
      <c r="VZ13" s="30"/>
      <c r="WA13" s="30"/>
      <c r="WB13" s="30"/>
      <c r="WC13" s="30"/>
      <c r="WD13" s="30"/>
      <c r="WE13" s="30"/>
      <c r="WF13" s="30"/>
      <c r="WG13" s="30"/>
      <c r="WH13" s="30"/>
      <c r="WI13" s="30"/>
      <c r="WJ13" s="30"/>
      <c r="WK13" s="30"/>
      <c r="WL13" s="30"/>
      <c r="WM13" s="30"/>
      <c r="WN13" s="30"/>
      <c r="WO13" s="30"/>
      <c r="WP13" s="30"/>
      <c r="WQ13" s="30"/>
      <c r="WR13" s="30"/>
      <c r="WS13" s="30"/>
      <c r="WT13" s="30"/>
      <c r="WU13" s="30"/>
      <c r="WV13" s="30"/>
      <c r="WW13" s="30"/>
      <c r="WX13" s="30"/>
      <c r="WY13" s="30"/>
      <c r="WZ13" s="30"/>
      <c r="XA13" s="30"/>
      <c r="XB13" s="30"/>
      <c r="XC13" s="30"/>
      <c r="XD13" s="30"/>
      <c r="XE13" s="30"/>
      <c r="XF13" s="30"/>
      <c r="XG13" s="30"/>
      <c r="XH13" s="30"/>
      <c r="XI13" s="30"/>
      <c r="XJ13" s="30"/>
      <c r="XK13" s="30"/>
      <c r="XL13" s="30"/>
      <c r="XM13" s="30"/>
      <c r="XN13" s="30"/>
      <c r="XO13" s="30"/>
      <c r="XP13" s="30"/>
      <c r="XQ13" s="30"/>
      <c r="XR13" s="30"/>
      <c r="XS13" s="30"/>
      <c r="XT13" s="30"/>
      <c r="XU13" s="30"/>
      <c r="XV13" s="30"/>
      <c r="XW13" s="30"/>
      <c r="XX13" s="30"/>
      <c r="XY13" s="30"/>
      <c r="XZ13" s="30"/>
      <c r="YA13" s="30"/>
      <c r="YB13" s="30"/>
      <c r="YC13" s="30"/>
      <c r="YD13" s="30"/>
      <c r="YE13" s="30"/>
      <c r="YF13" s="30"/>
      <c r="YG13" s="30"/>
      <c r="YH13" s="30"/>
      <c r="YI13" s="30"/>
      <c r="YJ13" s="30"/>
      <c r="YK13" s="30"/>
      <c r="YL13" s="30"/>
      <c r="YM13" s="30"/>
      <c r="YN13" s="30"/>
      <c r="YO13" s="30"/>
      <c r="YP13" s="30"/>
      <c r="YQ13" s="30"/>
      <c r="YR13" s="30"/>
      <c r="YS13" s="30"/>
      <c r="YT13" s="30"/>
      <c r="YU13" s="30"/>
      <c r="YV13" s="30"/>
      <c r="YW13" s="30"/>
      <c r="YX13" s="30"/>
      <c r="YY13" s="30"/>
      <c r="YZ13" s="30"/>
      <c r="ZA13" s="30"/>
      <c r="ZB13" s="30"/>
      <c r="ZC13" s="30"/>
      <c r="ZD13" s="30"/>
      <c r="ZE13" s="30"/>
      <c r="ZF13" s="30"/>
      <c r="ZG13" s="30"/>
      <c r="ZH13" s="30"/>
      <c r="ZI13" s="30"/>
      <c r="ZJ13" s="30"/>
      <c r="ZK13" s="30"/>
      <c r="ZL13" s="30"/>
      <c r="ZM13" s="30"/>
      <c r="ZN13" s="30"/>
      <c r="ZO13" s="30"/>
      <c r="ZP13" s="30"/>
      <c r="ZQ13" s="30"/>
      <c r="ZR13" s="30"/>
      <c r="ZS13" s="30"/>
      <c r="ZT13" s="30"/>
      <c r="ZU13" s="30"/>
      <c r="ZV13" s="30"/>
      <c r="ZW13" s="30"/>
      <c r="ZX13" s="30"/>
      <c r="ZY13" s="30"/>
      <c r="ZZ13" s="30"/>
      <c r="AAA13" s="30"/>
      <c r="AAB13" s="30"/>
      <c r="AAC13" s="30"/>
      <c r="AAD13" s="30"/>
      <c r="AAE13" s="30"/>
      <c r="AAF13" s="30"/>
      <c r="AAG13" s="30"/>
      <c r="AAH13" s="30"/>
      <c r="AAI13" s="30"/>
      <c r="AAJ13" s="30"/>
      <c r="AAK13" s="30"/>
      <c r="AAL13" s="30"/>
      <c r="AAM13" s="30"/>
      <c r="AAN13" s="30"/>
      <c r="AAO13" s="30"/>
      <c r="AAP13" s="30"/>
      <c r="AAQ13" s="30"/>
      <c r="AAR13" s="30"/>
      <c r="AAS13" s="30"/>
      <c r="AAT13" s="30"/>
      <c r="AAU13" s="30"/>
      <c r="AAV13" s="30"/>
      <c r="AAW13" s="30"/>
      <c r="AAX13" s="30"/>
      <c r="AAY13" s="30"/>
      <c r="AAZ13" s="30"/>
      <c r="ABA13" s="30"/>
      <c r="ABB13" s="30"/>
      <c r="ABC13" s="30"/>
      <c r="ABD13" s="30"/>
      <c r="ABE13" s="30"/>
      <c r="ABF13" s="30"/>
      <c r="ABG13" s="30"/>
      <c r="ABH13" s="30"/>
      <c r="ABI13" s="30"/>
      <c r="ABJ13" s="30"/>
      <c r="ABK13" s="30"/>
      <c r="ABL13" s="30"/>
      <c r="ABM13" s="30"/>
      <c r="ABN13" s="30"/>
      <c r="ABO13" s="30"/>
      <c r="ABP13" s="30"/>
      <c r="ABQ13" s="30"/>
      <c r="ABR13" s="30"/>
      <c r="ABS13" s="30"/>
      <c r="ABT13" s="30"/>
      <c r="ABU13" s="30"/>
      <c r="ABV13" s="30"/>
      <c r="ABW13" s="30"/>
      <c r="ABX13" s="30"/>
      <c r="ABY13" s="30"/>
      <c r="ABZ13" s="30"/>
      <c r="ACA13" s="30"/>
      <c r="ACB13" s="30"/>
      <c r="ACC13" s="30"/>
      <c r="ACD13" s="30"/>
      <c r="ACE13" s="30"/>
      <c r="ACF13" s="30"/>
      <c r="ACG13" s="30"/>
      <c r="ACH13" s="30"/>
      <c r="ACI13" s="30"/>
      <c r="ACJ13" s="30"/>
      <c r="ACK13" s="30"/>
      <c r="ACL13" s="30"/>
      <c r="ACM13" s="30"/>
      <c r="ACN13" s="30"/>
      <c r="ACO13" s="30"/>
      <c r="ACP13" s="30"/>
      <c r="ACQ13" s="30"/>
      <c r="ACR13" s="30"/>
      <c r="ACS13" s="30"/>
      <c r="ACT13" s="30"/>
      <c r="ACU13" s="30"/>
      <c r="ACV13" s="30"/>
      <c r="ACW13" s="30"/>
      <c r="ACX13" s="30"/>
      <c r="ACY13" s="30"/>
      <c r="ACZ13" s="30"/>
      <c r="ADA13" s="30"/>
      <c r="ADB13" s="30"/>
      <c r="ADC13" s="30"/>
      <c r="ADD13" s="30"/>
      <c r="ADE13" s="30"/>
      <c r="ADF13" s="30"/>
      <c r="ADG13" s="30"/>
      <c r="ADH13" s="30"/>
      <c r="ADI13" s="30"/>
      <c r="ADJ13" s="30"/>
      <c r="ADK13" s="30"/>
      <c r="ADL13" s="30"/>
      <c r="ADM13" s="30"/>
      <c r="ADN13" s="30"/>
      <c r="ADO13" s="30"/>
      <c r="ADP13" s="30"/>
      <c r="ADQ13" s="30"/>
      <c r="ADR13" s="30"/>
      <c r="ADS13" s="30"/>
      <c r="ADT13" s="30"/>
      <c r="ADU13" s="30"/>
      <c r="ADV13" s="30"/>
      <c r="ADW13" s="30"/>
      <c r="ADX13" s="30"/>
      <c r="ADY13" s="30"/>
      <c r="ADZ13" s="30"/>
      <c r="AEA13" s="30"/>
      <c r="AEB13" s="30"/>
      <c r="AEC13" s="30"/>
      <c r="AED13" s="30"/>
      <c r="AEE13" s="30"/>
      <c r="AEF13" s="30"/>
      <c r="AEG13" s="30"/>
      <c r="AEH13" s="30"/>
      <c r="AEI13" s="30"/>
      <c r="AEJ13" s="30"/>
      <c r="AEK13" s="30"/>
      <c r="AEL13" s="30"/>
      <c r="AEM13" s="30"/>
      <c r="AEN13" s="30"/>
      <c r="AEO13" s="30"/>
      <c r="AEP13" s="30"/>
      <c r="AEQ13" s="30"/>
      <c r="AER13" s="30"/>
      <c r="AES13" s="30"/>
      <c r="AET13" s="30"/>
      <c r="AEU13" s="30"/>
      <c r="AEV13" s="30"/>
      <c r="AEW13" s="30"/>
      <c r="AEX13" s="30"/>
      <c r="AEY13" s="30"/>
      <c r="AEZ13" s="30"/>
      <c r="AFA13" s="30"/>
      <c r="AFB13" s="30"/>
      <c r="AFC13" s="30"/>
      <c r="AFD13" s="30"/>
      <c r="AFE13" s="30"/>
      <c r="AFF13" s="30"/>
      <c r="AFG13" s="30"/>
      <c r="AFH13" s="30"/>
      <c r="AFI13" s="30"/>
      <c r="AFJ13" s="30"/>
      <c r="AFK13" s="30"/>
      <c r="AFL13" s="30"/>
      <c r="AFM13" s="30"/>
      <c r="AFN13" s="30"/>
      <c r="AFO13" s="30"/>
      <c r="AFP13" s="30"/>
      <c r="AFQ13" s="30"/>
      <c r="AFR13" s="30"/>
      <c r="AFS13" s="30"/>
      <c r="AFT13" s="30"/>
      <c r="AFU13" s="30"/>
      <c r="AFV13" s="30"/>
      <c r="AFW13" s="30"/>
      <c r="AFX13" s="30"/>
      <c r="AFY13" s="30"/>
      <c r="AFZ13" s="30"/>
      <c r="AGA13" s="30"/>
      <c r="AGB13" s="30"/>
      <c r="AGC13" s="30"/>
      <c r="AGD13" s="30"/>
      <c r="AGE13" s="30"/>
      <c r="AGF13" s="30"/>
      <c r="AGG13" s="30"/>
      <c r="AGH13" s="30"/>
      <c r="AGI13" s="30"/>
      <c r="AGJ13" s="30"/>
      <c r="AGK13" s="30"/>
      <c r="AGL13" s="30"/>
      <c r="AGM13" s="30"/>
      <c r="AGN13" s="30"/>
      <c r="AGO13" s="30"/>
      <c r="AGP13" s="30"/>
      <c r="AGQ13" s="30"/>
      <c r="AGR13" s="30"/>
      <c r="AGS13" s="30"/>
      <c r="AGT13" s="30"/>
      <c r="AGU13" s="30"/>
      <c r="AGV13" s="30"/>
      <c r="AGW13" s="30"/>
      <c r="AGX13" s="30"/>
      <c r="AGY13" s="30"/>
      <c r="AGZ13" s="30"/>
      <c r="AHA13" s="30"/>
      <c r="AHB13" s="30"/>
      <c r="AHC13" s="30"/>
      <c r="AHD13" s="30"/>
      <c r="AHE13" s="30"/>
      <c r="AHF13" s="30"/>
      <c r="AHG13" s="30"/>
      <c r="AHH13" s="30"/>
      <c r="AHI13" s="30"/>
      <c r="AHJ13" s="30"/>
      <c r="AHK13" s="30"/>
      <c r="AHL13" s="30"/>
      <c r="AHM13" s="30"/>
      <c r="AHN13" s="30"/>
      <c r="AHO13" s="30"/>
      <c r="AHP13" s="30"/>
      <c r="AHQ13" s="30"/>
      <c r="AHR13" s="30"/>
      <c r="AHS13" s="30"/>
      <c r="AHT13" s="30"/>
      <c r="AHU13" s="30"/>
      <c r="AHV13" s="30"/>
      <c r="AHW13" s="30"/>
      <c r="AHX13" s="30"/>
      <c r="AHY13" s="30"/>
      <c r="AHZ13" s="30"/>
      <c r="AIA13" s="30"/>
      <c r="AIB13" s="30"/>
      <c r="AIC13" s="30"/>
      <c r="AID13" s="30"/>
      <c r="AIE13" s="30"/>
      <c r="AIF13" s="30"/>
      <c r="AIG13" s="30"/>
      <c r="AIH13" s="30"/>
      <c r="AII13" s="30"/>
      <c r="AIJ13" s="30"/>
      <c r="AIK13" s="30"/>
      <c r="AIL13" s="30"/>
      <c r="AIM13" s="30"/>
      <c r="AIN13" s="30"/>
      <c r="AIO13" s="30"/>
      <c r="AIP13" s="30"/>
      <c r="AIQ13" s="30"/>
      <c r="AIR13" s="30"/>
      <c r="AIS13" s="30"/>
      <c r="AIT13" s="30"/>
      <c r="AIU13" s="30"/>
      <c r="AIV13" s="30"/>
      <c r="AIW13" s="30"/>
      <c r="AIX13" s="30"/>
      <c r="AIY13" s="30"/>
      <c r="AIZ13" s="30"/>
      <c r="AJA13" s="30"/>
      <c r="AJB13" s="30"/>
      <c r="AJC13" s="30"/>
      <c r="AJD13" s="30"/>
      <c r="AJE13" s="30"/>
      <c r="AJF13" s="30"/>
      <c r="AJG13" s="30"/>
      <c r="AJH13" s="30"/>
      <c r="AJI13" s="30"/>
      <c r="AJJ13" s="30"/>
      <c r="AJK13" s="30"/>
      <c r="AJL13" s="30"/>
      <c r="AJM13" s="30"/>
      <c r="AJN13" s="30"/>
      <c r="AJO13" s="30"/>
      <c r="AJP13" s="30"/>
      <c r="AJQ13" s="30"/>
      <c r="AJR13" s="30"/>
      <c r="AJS13" s="30"/>
      <c r="AJT13" s="30"/>
      <c r="AJU13" s="30"/>
      <c r="AJV13" s="30"/>
      <c r="AJW13" s="30"/>
      <c r="AJX13" s="30"/>
      <c r="AJY13" s="30"/>
      <c r="AJZ13" s="30"/>
      <c r="AKA13" s="30"/>
      <c r="AKB13" s="30"/>
      <c r="AKC13" s="30"/>
      <c r="AKD13" s="30"/>
      <c r="AKE13" s="30"/>
      <c r="AKF13" s="30"/>
      <c r="AKG13" s="30"/>
      <c r="AKH13" s="30"/>
      <c r="AKI13" s="30"/>
      <c r="AKJ13" s="30"/>
      <c r="AKK13" s="30"/>
      <c r="AKL13" s="30"/>
      <c r="AKM13" s="30"/>
      <c r="AKN13" s="30"/>
      <c r="AKO13" s="30"/>
      <c r="AKP13" s="30"/>
      <c r="AKQ13" s="30"/>
      <c r="AKR13" s="30"/>
      <c r="AKS13" s="30"/>
      <c r="AKT13" s="30"/>
      <c r="AKU13" s="30"/>
      <c r="AKV13" s="30"/>
      <c r="AKW13" s="30"/>
      <c r="AKX13" s="30"/>
      <c r="AKY13" s="30"/>
      <c r="AKZ13" s="30"/>
      <c r="ALA13" s="30"/>
      <c r="ALB13" s="30"/>
      <c r="ALC13" s="30"/>
      <c r="ALD13" s="30"/>
      <c r="ALE13" s="30"/>
      <c r="ALF13" s="30"/>
      <c r="ALG13" s="30"/>
      <c r="ALH13" s="30"/>
      <c r="ALI13" s="30"/>
      <c r="ALJ13" s="30"/>
      <c r="ALK13" s="30"/>
      <c r="ALL13" s="30"/>
      <c r="ALM13" s="30"/>
      <c r="ALN13" s="30"/>
      <c r="ALO13" s="30"/>
      <c r="ALP13" s="30"/>
      <c r="ALQ13" s="30"/>
      <c r="ALR13" s="30"/>
      <c r="ALS13" s="30"/>
      <c r="ALT13" s="30"/>
      <c r="ALU13" s="30"/>
      <c r="ALV13" s="30"/>
      <c r="ALW13" s="30"/>
      <c r="ALX13" s="30"/>
      <c r="ALY13" s="30"/>
      <c r="ALZ13" s="30"/>
      <c r="AMA13" s="30"/>
      <c r="AMB13" s="30"/>
      <c r="AMC13" s="30"/>
      <c r="AMD13" s="30"/>
      <c r="AME13" s="30"/>
      <c r="AMF13" s="30"/>
      <c r="AMG13" s="30"/>
      <c r="AMH13" s="30"/>
      <c r="AMI13" s="30"/>
      <c r="AMJ13" s="30"/>
      <c r="AMK13" s="30"/>
      <c r="AML13" s="30"/>
      <c r="AMM13" s="30"/>
      <c r="AMN13" s="30"/>
      <c r="AMO13" s="30"/>
      <c r="AMP13" s="30"/>
      <c r="AMQ13" s="30"/>
      <c r="AMR13" s="30"/>
      <c r="AMS13" s="30"/>
      <c r="AMT13" s="30"/>
      <c r="AMU13" s="30"/>
      <c r="AMV13" s="30"/>
      <c r="AMW13" s="30"/>
      <c r="AMX13" s="30"/>
      <c r="AMY13" s="30"/>
      <c r="AMZ13" s="30"/>
      <c r="ANA13" s="30"/>
      <c r="ANB13" s="30"/>
      <c r="ANC13" s="30"/>
      <c r="AND13" s="30"/>
      <c r="ANE13" s="30"/>
      <c r="ANF13" s="30"/>
      <c r="ANG13" s="30"/>
      <c r="ANH13" s="30"/>
      <c r="ANI13" s="30"/>
      <c r="ANJ13" s="30"/>
      <c r="ANK13" s="30"/>
      <c r="ANL13" s="30"/>
      <c r="ANM13" s="30"/>
      <c r="ANN13" s="30"/>
      <c r="ANO13" s="30"/>
      <c r="ANP13" s="30"/>
      <c r="ANQ13" s="30"/>
      <c r="ANR13" s="30"/>
      <c r="ANS13" s="30"/>
      <c r="ANT13" s="30"/>
      <c r="ANU13" s="30"/>
      <c r="ANV13" s="30"/>
      <c r="ANW13" s="30"/>
      <c r="ANX13" s="30"/>
      <c r="ANY13" s="30"/>
      <c r="ANZ13" s="30"/>
      <c r="AOA13" s="30"/>
      <c r="AOB13" s="30"/>
      <c r="AOC13" s="30"/>
      <c r="AOD13" s="30"/>
      <c r="AOE13" s="30"/>
      <c r="AOF13" s="30"/>
      <c r="AOG13" s="30"/>
      <c r="AOH13" s="30"/>
      <c r="AOI13" s="30"/>
      <c r="AOJ13" s="30"/>
      <c r="AOK13" s="30"/>
      <c r="AOL13" s="30"/>
      <c r="AOM13" s="30"/>
      <c r="AON13" s="30"/>
      <c r="AOO13" s="30"/>
      <c r="AOP13" s="30"/>
      <c r="AOQ13" s="30"/>
      <c r="AOR13" s="30"/>
      <c r="AOS13" s="30"/>
      <c r="AOT13" s="30"/>
      <c r="AOU13" s="30"/>
      <c r="AOV13" s="30"/>
      <c r="AOW13" s="30"/>
      <c r="AOX13" s="30"/>
      <c r="AOY13" s="30"/>
      <c r="AOZ13" s="30"/>
      <c r="APA13" s="30"/>
      <c r="APB13" s="30"/>
      <c r="APC13" s="30"/>
      <c r="APD13" s="30"/>
      <c r="APE13" s="30"/>
      <c r="APF13" s="30"/>
      <c r="APG13" s="30"/>
      <c r="APH13" s="30"/>
      <c r="API13" s="30"/>
      <c r="APJ13" s="30"/>
      <c r="APK13" s="30"/>
      <c r="APL13" s="30"/>
      <c r="APM13" s="30"/>
      <c r="APN13" s="30"/>
      <c r="APO13" s="30"/>
      <c r="APP13" s="30"/>
      <c r="APQ13" s="30"/>
      <c r="APR13" s="30"/>
      <c r="APS13" s="30"/>
      <c r="APT13" s="30"/>
      <c r="APU13" s="30"/>
      <c r="APV13" s="30"/>
      <c r="APW13" s="30"/>
      <c r="APX13" s="30"/>
      <c r="APY13" s="30"/>
      <c r="APZ13" s="30"/>
      <c r="AQA13" s="30"/>
      <c r="AQB13" s="30"/>
      <c r="AQC13" s="30"/>
      <c r="AQD13" s="30"/>
      <c r="AQE13" s="30"/>
      <c r="AQF13" s="30"/>
      <c r="AQG13" s="30"/>
      <c r="AQH13" s="30"/>
      <c r="AQI13" s="30"/>
      <c r="AQJ13" s="30"/>
      <c r="AQK13" s="30"/>
      <c r="AQL13" s="30"/>
      <c r="AQM13" s="30"/>
      <c r="AQN13" s="30"/>
      <c r="AQO13" s="30"/>
      <c r="AQP13" s="30"/>
      <c r="AQQ13" s="30"/>
      <c r="AQR13" s="30"/>
      <c r="AQS13" s="30"/>
      <c r="AQT13" s="30"/>
      <c r="AQU13" s="30"/>
      <c r="AQV13" s="30"/>
      <c r="AQW13" s="30"/>
      <c r="AQX13" s="30"/>
      <c r="AQY13" s="30"/>
      <c r="AQZ13" s="30"/>
      <c r="ARA13" s="30"/>
      <c r="ARB13" s="30"/>
      <c r="ARC13" s="30"/>
      <c r="ARD13" s="30"/>
      <c r="ARE13" s="30"/>
      <c r="ARF13" s="30"/>
      <c r="ARG13" s="30"/>
      <c r="ARH13" s="30"/>
      <c r="ARI13" s="30"/>
      <c r="ARJ13" s="30"/>
      <c r="ARK13" s="30"/>
      <c r="ARL13" s="30"/>
      <c r="ARM13" s="30"/>
      <c r="ARN13" s="30"/>
      <c r="ARO13" s="30"/>
      <c r="ARP13" s="30"/>
      <c r="ARQ13" s="30"/>
      <c r="ARR13" s="30"/>
      <c r="ARS13" s="30"/>
      <c r="ART13" s="30"/>
      <c r="ARU13" s="30"/>
      <c r="ARV13" s="30"/>
      <c r="ARW13" s="30"/>
      <c r="ARX13" s="30"/>
      <c r="ARY13" s="30"/>
      <c r="ARZ13" s="30"/>
      <c r="ASA13" s="30"/>
      <c r="ASB13" s="30"/>
      <c r="ASC13" s="30"/>
      <c r="ASD13" s="30"/>
      <c r="ASE13" s="30"/>
      <c r="ASF13" s="30"/>
      <c r="ASG13" s="30"/>
      <c r="ASH13" s="30"/>
      <c r="ASI13" s="30"/>
      <c r="ASJ13" s="30"/>
      <c r="ASK13" s="30"/>
      <c r="ASL13" s="30"/>
      <c r="ASM13" s="30"/>
      <c r="ASN13" s="30"/>
      <c r="ASO13" s="30"/>
      <c r="ASP13" s="30"/>
      <c r="ASQ13" s="30"/>
      <c r="ASR13" s="30"/>
      <c r="ASS13" s="30"/>
      <c r="AST13" s="30"/>
      <c r="ASU13" s="30"/>
      <c r="ASV13" s="30"/>
      <c r="ASW13" s="30"/>
      <c r="ASX13" s="30"/>
      <c r="ASY13" s="30"/>
      <c r="ASZ13" s="30"/>
      <c r="ATA13" s="30"/>
      <c r="ATB13" s="30"/>
      <c r="ATC13" s="30"/>
      <c r="ATD13" s="30"/>
      <c r="ATE13" s="30"/>
      <c r="ATF13" s="30"/>
      <c r="ATG13" s="30"/>
      <c r="ATH13" s="30"/>
      <c r="ATI13" s="30"/>
      <c r="ATJ13" s="30"/>
      <c r="ATK13" s="30"/>
      <c r="ATL13" s="30"/>
      <c r="ATM13" s="30"/>
      <c r="ATN13" s="30"/>
      <c r="ATO13" s="30"/>
      <c r="ATP13" s="30"/>
      <c r="ATQ13" s="30"/>
      <c r="ATR13" s="30"/>
      <c r="ATS13" s="30"/>
      <c r="ATT13" s="30"/>
      <c r="ATU13" s="30"/>
      <c r="ATV13" s="30"/>
      <c r="ATW13" s="30"/>
      <c r="ATX13" s="30"/>
      <c r="ATY13" s="30"/>
      <c r="ATZ13" s="30"/>
      <c r="AUA13" s="30"/>
      <c r="AUB13" s="30"/>
      <c r="AUC13" s="30"/>
      <c r="AUD13" s="30"/>
      <c r="AUE13" s="30"/>
      <c r="AUF13" s="30"/>
      <c r="AUG13" s="30"/>
      <c r="AUH13" s="30"/>
      <c r="AUI13" s="30"/>
      <c r="AUJ13" s="30"/>
      <c r="AUK13" s="30"/>
      <c r="AUL13" s="30"/>
      <c r="AUM13" s="30"/>
      <c r="AUN13" s="30"/>
      <c r="AUO13" s="30"/>
      <c r="AUP13" s="30"/>
      <c r="AUQ13" s="30"/>
      <c r="AUR13" s="30"/>
      <c r="AUS13" s="30"/>
      <c r="AUT13" s="30"/>
      <c r="AUU13" s="30"/>
      <c r="AUV13" s="30"/>
      <c r="AUW13" s="30"/>
      <c r="AUX13" s="30"/>
      <c r="AUY13" s="30"/>
      <c r="AUZ13" s="30"/>
      <c r="AVA13" s="30"/>
      <c r="AVB13" s="30"/>
      <c r="AVC13" s="30"/>
      <c r="AVD13" s="30"/>
      <c r="AVE13" s="30"/>
      <c r="AVF13" s="30"/>
      <c r="AVG13" s="30"/>
      <c r="AVH13" s="30"/>
      <c r="AVI13" s="30"/>
      <c r="AVJ13" s="30"/>
      <c r="AVK13" s="30"/>
      <c r="AVL13" s="30"/>
      <c r="AVM13" s="30"/>
      <c r="AVN13" s="30"/>
      <c r="AVO13" s="30"/>
      <c r="AVP13" s="30"/>
      <c r="AVQ13" s="30"/>
      <c r="AVR13" s="30"/>
      <c r="AVS13" s="30"/>
      <c r="AVT13" s="30"/>
      <c r="AVU13" s="30"/>
      <c r="AVV13" s="30"/>
      <c r="AVW13" s="30"/>
      <c r="AVX13" s="30"/>
      <c r="AVY13" s="30"/>
      <c r="AVZ13" s="30"/>
      <c r="AWA13" s="30"/>
      <c r="AWB13" s="30"/>
      <c r="AWC13" s="30"/>
      <c r="AWD13" s="30"/>
      <c r="AWE13" s="30"/>
      <c r="AWF13" s="30"/>
      <c r="AWG13" s="30"/>
      <c r="AWH13" s="30"/>
      <c r="AWI13" s="30"/>
      <c r="AWJ13" s="30"/>
      <c r="AWK13" s="30"/>
      <c r="AWL13" s="30"/>
      <c r="AWM13" s="30"/>
      <c r="AWN13" s="30"/>
      <c r="AWO13" s="30"/>
      <c r="AWP13" s="30"/>
      <c r="AWQ13" s="30"/>
      <c r="AWR13" s="30"/>
      <c r="AWS13" s="30"/>
      <c r="AWT13" s="30"/>
      <c r="AWU13" s="30"/>
      <c r="AWV13" s="30"/>
      <c r="AWW13" s="30"/>
      <c r="AWX13" s="30"/>
      <c r="AWY13" s="30"/>
      <c r="AWZ13" s="30"/>
      <c r="AXA13" s="30"/>
      <c r="AXB13" s="30"/>
      <c r="AXC13" s="30"/>
      <c r="AXD13" s="30"/>
      <c r="AXE13" s="30"/>
      <c r="AXF13" s="30"/>
      <c r="AXG13" s="30"/>
      <c r="AXH13" s="30"/>
      <c r="AXI13" s="30"/>
      <c r="AXJ13" s="30"/>
      <c r="AXK13" s="30"/>
      <c r="AXL13" s="30"/>
      <c r="AXM13" s="30"/>
      <c r="AXN13" s="30"/>
      <c r="AXO13" s="30"/>
      <c r="AXP13" s="30"/>
      <c r="AXQ13" s="30"/>
      <c r="AXR13" s="30"/>
      <c r="AXS13" s="30"/>
      <c r="AXT13" s="30"/>
      <c r="AXU13" s="30"/>
      <c r="AXV13" s="30"/>
      <c r="AXW13" s="30"/>
      <c r="AXX13" s="30"/>
      <c r="AXY13" s="30"/>
      <c r="AXZ13" s="30"/>
      <c r="AYA13" s="30"/>
      <c r="AYB13" s="30"/>
      <c r="AYC13" s="30"/>
      <c r="AYD13" s="30"/>
      <c r="AYE13" s="30"/>
      <c r="AYF13" s="30"/>
      <c r="AYG13" s="30"/>
      <c r="AYH13" s="30"/>
      <c r="AYI13" s="30"/>
      <c r="AYJ13" s="30"/>
      <c r="AYK13" s="30"/>
      <c r="AYL13" s="30"/>
      <c r="AYM13" s="30"/>
      <c r="AYN13" s="30"/>
      <c r="AYO13" s="30"/>
      <c r="AYP13" s="30"/>
      <c r="AYQ13" s="30"/>
      <c r="AYR13" s="30"/>
      <c r="AYS13" s="30"/>
      <c r="AYT13" s="30"/>
      <c r="AYU13" s="30"/>
      <c r="AYV13" s="30"/>
      <c r="AYW13" s="30"/>
      <c r="AYX13" s="30"/>
      <c r="AYY13" s="30"/>
      <c r="AYZ13" s="30"/>
      <c r="AZA13" s="30"/>
      <c r="AZB13" s="30"/>
      <c r="AZC13" s="30"/>
      <c r="AZD13" s="30"/>
      <c r="AZE13" s="30"/>
      <c r="AZF13" s="30"/>
      <c r="AZG13" s="30"/>
      <c r="AZH13" s="30"/>
      <c r="AZI13" s="30"/>
      <c r="AZJ13" s="30"/>
      <c r="AZK13" s="30"/>
      <c r="AZL13" s="30"/>
      <c r="AZM13" s="30"/>
      <c r="AZN13" s="30"/>
      <c r="AZO13" s="30"/>
      <c r="AZP13" s="30"/>
      <c r="AZQ13" s="30"/>
      <c r="AZR13" s="30"/>
      <c r="AZS13" s="30"/>
      <c r="AZT13" s="30"/>
      <c r="AZU13" s="30"/>
      <c r="AZV13" s="30"/>
      <c r="AZW13" s="30"/>
      <c r="AZX13" s="30"/>
      <c r="AZY13" s="30"/>
      <c r="AZZ13" s="30"/>
      <c r="BAA13" s="30"/>
      <c r="BAB13" s="30"/>
      <c r="BAC13" s="30"/>
      <c r="BAD13" s="30"/>
      <c r="BAE13" s="30"/>
      <c r="BAF13" s="30"/>
      <c r="BAG13" s="30"/>
      <c r="BAH13" s="30"/>
      <c r="BAI13" s="30"/>
      <c r="BAJ13" s="30"/>
      <c r="BAK13" s="30"/>
      <c r="BAL13" s="30"/>
      <c r="BAM13" s="30"/>
      <c r="BAN13" s="30"/>
      <c r="BAO13" s="30"/>
      <c r="BAP13" s="30"/>
      <c r="BAQ13" s="30"/>
      <c r="BAR13" s="30"/>
      <c r="BAS13" s="30"/>
      <c r="BAT13" s="30"/>
      <c r="BAU13" s="30"/>
      <c r="BAV13" s="30"/>
      <c r="BAW13" s="30"/>
      <c r="BAX13" s="30"/>
      <c r="BAY13" s="30"/>
      <c r="BAZ13" s="30"/>
      <c r="BBA13" s="30"/>
      <c r="BBB13" s="30"/>
      <c r="BBC13" s="30"/>
      <c r="BBD13" s="30"/>
      <c r="BBE13" s="30"/>
      <c r="BBF13" s="30"/>
      <c r="BBG13" s="30"/>
      <c r="BBH13" s="30"/>
      <c r="BBI13" s="30"/>
      <c r="BBJ13" s="30"/>
      <c r="BBK13" s="30"/>
      <c r="BBL13" s="30"/>
      <c r="BBM13" s="30"/>
      <c r="BBN13" s="30"/>
      <c r="BBO13" s="30"/>
      <c r="BBP13" s="30"/>
      <c r="BBQ13" s="30"/>
      <c r="BBR13" s="30"/>
      <c r="BBS13" s="30"/>
      <c r="BBT13" s="30"/>
      <c r="BBU13" s="30"/>
      <c r="BBV13" s="30"/>
      <c r="BBW13" s="30"/>
      <c r="BBX13" s="30"/>
      <c r="BBY13" s="30"/>
      <c r="BBZ13" s="30"/>
      <c r="BCA13" s="30"/>
      <c r="BCB13" s="30"/>
      <c r="BCC13" s="30"/>
      <c r="BCD13" s="30"/>
      <c r="BCE13" s="30"/>
      <c r="BCF13" s="30"/>
      <c r="BCG13" s="30"/>
      <c r="BCH13" s="30"/>
      <c r="BCI13" s="30"/>
      <c r="BCJ13" s="30"/>
      <c r="BCK13" s="30"/>
      <c r="BCL13" s="30"/>
      <c r="BCM13" s="30"/>
      <c r="BCN13" s="30"/>
      <c r="BCO13" s="30"/>
      <c r="BCP13" s="30"/>
      <c r="BCQ13" s="30"/>
      <c r="BCR13" s="30"/>
      <c r="BCS13" s="30"/>
      <c r="BCT13" s="30"/>
      <c r="BCU13" s="30"/>
      <c r="BCV13" s="30"/>
      <c r="BCW13" s="30"/>
      <c r="BCX13" s="30"/>
      <c r="BCY13" s="30"/>
      <c r="BCZ13" s="30"/>
      <c r="BDA13" s="30"/>
      <c r="BDB13" s="30"/>
      <c r="BDC13" s="30"/>
      <c r="BDD13" s="30"/>
      <c r="BDE13" s="30"/>
      <c r="BDF13" s="30"/>
      <c r="BDG13" s="30"/>
      <c r="BDH13" s="30"/>
      <c r="BDI13" s="30"/>
      <c r="BDJ13" s="30"/>
      <c r="BDK13" s="30"/>
      <c r="BDL13" s="30"/>
      <c r="BDM13" s="30"/>
      <c r="BDN13" s="30"/>
      <c r="BDO13" s="30"/>
      <c r="BDP13" s="30"/>
      <c r="BDQ13" s="30"/>
      <c r="BDR13" s="30"/>
      <c r="BDS13" s="30"/>
      <c r="BDT13" s="30"/>
      <c r="BDU13" s="30"/>
      <c r="BDV13" s="30"/>
      <c r="BDW13" s="30"/>
      <c r="BDX13" s="30"/>
      <c r="BDY13" s="30"/>
      <c r="BDZ13" s="30"/>
      <c r="BEA13" s="30"/>
      <c r="BEB13" s="30"/>
      <c r="BEC13" s="30"/>
      <c r="BED13" s="30"/>
      <c r="BEE13" s="30"/>
      <c r="BEF13" s="30"/>
      <c r="BEG13" s="30"/>
      <c r="BEH13" s="30"/>
      <c r="BEI13" s="30"/>
      <c r="BEJ13" s="30"/>
      <c r="BEK13" s="30"/>
      <c r="BEL13" s="30"/>
      <c r="BEM13" s="30"/>
      <c r="BEN13" s="30"/>
      <c r="BEO13" s="30"/>
      <c r="BEP13" s="30"/>
      <c r="BEQ13" s="30"/>
      <c r="BER13" s="30"/>
      <c r="BES13" s="30"/>
      <c r="BET13" s="30"/>
      <c r="BEU13" s="30"/>
      <c r="BEV13" s="30"/>
      <c r="BEW13" s="30"/>
      <c r="BEX13" s="30"/>
      <c r="BEY13" s="30"/>
      <c r="BEZ13" s="30"/>
      <c r="BFA13" s="30"/>
      <c r="BFB13" s="30"/>
      <c r="BFC13" s="30"/>
      <c r="BFD13" s="30"/>
      <c r="BFE13" s="30"/>
      <c r="BFF13" s="30"/>
      <c r="BFG13" s="30"/>
      <c r="BFH13" s="30"/>
      <c r="BFI13" s="30"/>
      <c r="BFJ13" s="30"/>
      <c r="BFK13" s="30"/>
      <c r="BFL13" s="30"/>
      <c r="BFM13" s="30"/>
      <c r="BFN13" s="30"/>
      <c r="BFO13" s="30"/>
      <c r="BFP13" s="30"/>
      <c r="BFQ13" s="30"/>
      <c r="BFR13" s="30"/>
      <c r="BFS13" s="30"/>
      <c r="BFT13" s="30"/>
      <c r="BFU13" s="30"/>
      <c r="BFV13" s="30"/>
      <c r="BFW13" s="30"/>
      <c r="BFX13" s="30"/>
      <c r="BFY13" s="30"/>
      <c r="BFZ13" s="30"/>
      <c r="BGA13" s="30"/>
      <c r="BGB13" s="30"/>
      <c r="BGC13" s="30"/>
      <c r="BGD13" s="30"/>
      <c r="BGE13" s="30"/>
      <c r="BGF13" s="30"/>
      <c r="BGG13" s="30"/>
      <c r="BGH13" s="30"/>
      <c r="BGI13" s="30"/>
      <c r="BGJ13" s="30"/>
      <c r="BGK13" s="30"/>
      <c r="BGL13" s="30"/>
      <c r="BGM13" s="30"/>
      <c r="BGN13" s="30"/>
      <c r="BGO13" s="30"/>
      <c r="BGP13" s="30"/>
      <c r="BGQ13" s="30"/>
      <c r="BGR13" s="30"/>
      <c r="BGS13" s="30"/>
      <c r="BGT13" s="30"/>
      <c r="BGU13" s="30"/>
      <c r="BGV13" s="30"/>
      <c r="BGW13" s="30"/>
      <c r="BGX13" s="30"/>
      <c r="BGY13" s="30"/>
      <c r="BGZ13" s="30"/>
      <c r="BHA13" s="30"/>
      <c r="BHB13" s="30"/>
      <c r="BHC13" s="30"/>
      <c r="BHD13" s="30"/>
      <c r="BHE13" s="30"/>
      <c r="BHF13" s="30"/>
      <c r="BHG13" s="30"/>
      <c r="BHH13" s="30"/>
      <c r="BHI13" s="30"/>
      <c r="BHJ13" s="30"/>
      <c r="BHK13" s="30"/>
      <c r="BHL13" s="30"/>
      <c r="BHM13" s="30"/>
      <c r="BHN13" s="30"/>
      <c r="BHO13" s="30"/>
      <c r="BHP13" s="30"/>
      <c r="BHQ13" s="30"/>
      <c r="BHR13" s="30"/>
      <c r="BHS13" s="30"/>
      <c r="BHT13" s="30"/>
      <c r="BHU13" s="30"/>
      <c r="BHV13" s="30"/>
      <c r="BHW13" s="30"/>
      <c r="BHX13" s="30"/>
      <c r="BHY13" s="30"/>
      <c r="BHZ13" s="30"/>
      <c r="BIA13" s="30"/>
      <c r="BIB13" s="30"/>
      <c r="BIC13" s="30"/>
      <c r="BID13" s="30"/>
      <c r="BIE13" s="30"/>
      <c r="BIF13" s="30"/>
      <c r="BIG13" s="30"/>
      <c r="BIH13" s="30"/>
      <c r="BII13" s="30"/>
      <c r="BIJ13" s="30"/>
      <c r="BIK13" s="30"/>
      <c r="BIL13" s="30"/>
      <c r="BIM13" s="30"/>
      <c r="BIN13" s="30"/>
      <c r="BIO13" s="30"/>
      <c r="BIP13" s="30"/>
      <c r="BIQ13" s="30"/>
      <c r="BIR13" s="30"/>
      <c r="BIS13" s="30"/>
      <c r="BIT13" s="30"/>
      <c r="BIU13" s="30"/>
      <c r="BIV13" s="30"/>
      <c r="BIW13" s="30"/>
      <c r="BIX13" s="30"/>
      <c r="BIY13" s="30"/>
      <c r="BIZ13" s="30"/>
      <c r="BJA13" s="30"/>
      <c r="BJB13" s="30"/>
      <c r="BJC13" s="30"/>
      <c r="BJD13" s="30"/>
      <c r="BJE13" s="30"/>
      <c r="BJF13" s="30"/>
      <c r="BJG13" s="30"/>
      <c r="BJH13" s="30"/>
      <c r="BJI13" s="30"/>
      <c r="BJJ13" s="30"/>
      <c r="BJK13" s="30"/>
      <c r="BJL13" s="30"/>
      <c r="BJM13" s="30"/>
      <c r="BJN13" s="30"/>
      <c r="BJO13" s="30"/>
      <c r="BJP13" s="30"/>
      <c r="BJQ13" s="30"/>
      <c r="BJR13" s="30"/>
      <c r="BJS13" s="30"/>
      <c r="BJT13" s="30"/>
      <c r="BJU13" s="30"/>
      <c r="BJV13" s="30"/>
      <c r="BJW13" s="30"/>
      <c r="BJX13" s="30"/>
      <c r="BJY13" s="30"/>
      <c r="BJZ13" s="30"/>
      <c r="BKA13" s="30"/>
      <c r="BKB13" s="30"/>
      <c r="BKC13" s="30"/>
      <c r="BKD13" s="30"/>
      <c r="BKE13" s="30"/>
      <c r="BKF13" s="30"/>
      <c r="BKG13" s="30"/>
      <c r="BKH13" s="30"/>
      <c r="BKI13" s="30"/>
      <c r="BKJ13" s="30"/>
      <c r="BKK13" s="30"/>
      <c r="BKL13" s="30"/>
      <c r="BKM13" s="30"/>
      <c r="BKN13" s="30"/>
      <c r="BKO13" s="30"/>
      <c r="BKP13" s="30"/>
      <c r="BKQ13" s="30"/>
      <c r="BKR13" s="30"/>
      <c r="BKS13" s="30"/>
      <c r="BKT13" s="30"/>
      <c r="BKU13" s="30"/>
      <c r="BKV13" s="30"/>
      <c r="BKW13" s="30"/>
      <c r="BKX13" s="30"/>
      <c r="BKY13" s="30"/>
      <c r="BKZ13" s="30"/>
      <c r="BLA13" s="30"/>
      <c r="BLB13" s="30"/>
      <c r="BLC13" s="30"/>
      <c r="BLD13" s="30"/>
      <c r="BLE13" s="30"/>
      <c r="BLF13" s="30"/>
      <c r="BLG13" s="30"/>
      <c r="BLH13" s="30"/>
      <c r="BLI13" s="30"/>
      <c r="BLJ13" s="30"/>
      <c r="BLK13" s="30"/>
      <c r="BLL13" s="30"/>
      <c r="BLM13" s="30"/>
      <c r="BLN13" s="30"/>
      <c r="BLO13" s="30"/>
      <c r="BLP13" s="30"/>
      <c r="BLQ13" s="30"/>
      <c r="BLR13" s="30"/>
      <c r="BLS13" s="30"/>
      <c r="BLT13" s="30"/>
      <c r="BLU13" s="30"/>
      <c r="BLV13" s="30"/>
      <c r="BLW13" s="30"/>
      <c r="BLX13" s="30"/>
      <c r="BLY13" s="30"/>
      <c r="BLZ13" s="30"/>
      <c r="BMA13" s="30"/>
      <c r="BMB13" s="30"/>
      <c r="BMC13" s="30"/>
      <c r="BMD13" s="30"/>
      <c r="BME13" s="30"/>
      <c r="BMF13" s="30"/>
      <c r="BMG13" s="30"/>
      <c r="BMH13" s="30"/>
      <c r="BMI13" s="30"/>
      <c r="BMJ13" s="30"/>
      <c r="BMK13" s="30"/>
      <c r="BML13" s="30"/>
      <c r="BMM13" s="30"/>
      <c r="BMN13" s="30"/>
      <c r="BMO13" s="30"/>
      <c r="BMP13" s="30"/>
      <c r="BMQ13" s="30"/>
      <c r="BMR13" s="30"/>
      <c r="BMS13" s="30"/>
      <c r="BMT13" s="30"/>
      <c r="BMU13" s="30"/>
      <c r="BMV13" s="30"/>
      <c r="BMW13" s="30"/>
      <c r="BMX13" s="30"/>
      <c r="BMY13" s="30"/>
      <c r="BMZ13" s="30"/>
      <c r="BNA13" s="30"/>
      <c r="BNB13" s="30"/>
      <c r="BNC13" s="30"/>
      <c r="BND13" s="30"/>
      <c r="BNE13" s="30"/>
      <c r="BNF13" s="30"/>
      <c r="BNG13" s="30"/>
      <c r="BNH13" s="30"/>
      <c r="BNI13" s="30"/>
      <c r="BNJ13" s="30"/>
      <c r="BNK13" s="30"/>
      <c r="BNL13" s="30"/>
      <c r="BNM13" s="30"/>
      <c r="BNN13" s="30"/>
      <c r="BNO13" s="30"/>
      <c r="BNP13" s="30"/>
      <c r="BNQ13" s="30"/>
      <c r="BNR13" s="30"/>
      <c r="BNS13" s="30"/>
      <c r="BNT13" s="30"/>
      <c r="BNU13" s="30"/>
      <c r="BNV13" s="30"/>
      <c r="BNW13" s="30"/>
      <c r="BNX13" s="30"/>
      <c r="BNY13" s="30"/>
      <c r="BNZ13" s="30"/>
      <c r="BOA13" s="30"/>
      <c r="BOB13" s="30"/>
      <c r="BOC13" s="30"/>
      <c r="BOD13" s="30"/>
      <c r="BOE13" s="30"/>
      <c r="BOF13" s="30"/>
      <c r="BOG13" s="30"/>
      <c r="BOH13" s="30"/>
      <c r="BOI13" s="30"/>
      <c r="BOJ13" s="30"/>
      <c r="BOK13" s="30"/>
      <c r="BOL13" s="30"/>
      <c r="BOM13" s="30"/>
      <c r="BON13" s="30"/>
      <c r="BOO13" s="30"/>
      <c r="BOP13" s="30"/>
      <c r="BOQ13" s="30"/>
      <c r="BOR13" s="30"/>
      <c r="BOS13" s="30"/>
      <c r="BOT13" s="30"/>
      <c r="BOU13" s="30"/>
      <c r="BOV13" s="30"/>
      <c r="BOW13" s="30"/>
      <c r="BOX13" s="30"/>
      <c r="BOY13" s="30"/>
      <c r="BOZ13" s="30"/>
      <c r="BPA13" s="30"/>
      <c r="BPB13" s="30"/>
      <c r="BPC13" s="30"/>
      <c r="BPD13" s="30"/>
      <c r="BPE13" s="30"/>
      <c r="BPF13" s="30"/>
      <c r="BPG13" s="30"/>
      <c r="BPH13" s="30"/>
      <c r="BPI13" s="30"/>
      <c r="BPJ13" s="30"/>
      <c r="BPK13" s="30"/>
      <c r="BPL13" s="30"/>
      <c r="BPM13" s="30"/>
      <c r="BPN13" s="30"/>
      <c r="BPO13" s="30"/>
      <c r="BPP13" s="30"/>
      <c r="BPQ13" s="30"/>
      <c r="BPR13" s="30"/>
      <c r="BPS13" s="30"/>
      <c r="BPT13" s="30"/>
      <c r="BPU13" s="30"/>
      <c r="BPV13" s="30"/>
      <c r="BPW13" s="30"/>
      <c r="BPX13" s="30"/>
      <c r="BPY13" s="30"/>
      <c r="BPZ13" s="30"/>
      <c r="BQA13" s="30"/>
      <c r="BQB13" s="30"/>
      <c r="BQC13" s="30"/>
      <c r="BQD13" s="30"/>
      <c r="BQE13" s="30"/>
      <c r="BQF13" s="30"/>
      <c r="BQG13" s="30"/>
      <c r="BQH13" s="30"/>
      <c r="BQI13" s="30"/>
      <c r="BQJ13" s="30"/>
      <c r="BQK13" s="30"/>
      <c r="BQL13" s="30"/>
      <c r="BQM13" s="30"/>
      <c r="BQN13" s="30"/>
      <c r="BQO13" s="30"/>
      <c r="BQP13" s="30"/>
      <c r="BQQ13" s="30"/>
      <c r="BQR13" s="30"/>
      <c r="BQS13" s="30"/>
      <c r="BQT13" s="30"/>
      <c r="BQU13" s="30"/>
      <c r="BQV13" s="30"/>
      <c r="BQW13" s="30"/>
      <c r="BQX13" s="30"/>
      <c r="BQY13" s="30"/>
      <c r="BQZ13" s="30"/>
      <c r="BRA13" s="30"/>
      <c r="BRB13" s="30"/>
      <c r="BRC13" s="30"/>
      <c r="BRD13" s="30"/>
      <c r="BRE13" s="30"/>
      <c r="BRF13" s="30"/>
      <c r="BRG13" s="30"/>
      <c r="BRH13" s="30"/>
      <c r="BRI13" s="30"/>
      <c r="BRJ13" s="30"/>
      <c r="BRK13" s="30"/>
      <c r="BRL13" s="30"/>
      <c r="BRM13" s="30"/>
      <c r="BRN13" s="30"/>
      <c r="BRO13" s="30"/>
      <c r="BRP13" s="30"/>
      <c r="BRQ13" s="30"/>
      <c r="BRR13" s="30"/>
      <c r="BRS13" s="30"/>
      <c r="BRT13" s="30"/>
      <c r="BRU13" s="30"/>
      <c r="BRV13" s="30"/>
      <c r="BRW13" s="30"/>
      <c r="BRX13" s="30"/>
      <c r="BRY13" s="30"/>
      <c r="BRZ13" s="30"/>
      <c r="BSA13" s="30"/>
      <c r="BSB13" s="30"/>
      <c r="BSC13" s="30"/>
      <c r="BSD13" s="30"/>
    </row>
    <row r="14" spans="1:1850" s="43" customFormat="1" ht="15" hidden="1" customHeight="1" outlineLevel="1">
      <c r="A14" s="32" t="s">
        <v>6</v>
      </c>
      <c r="B14" s="33"/>
      <c r="C14" s="34">
        <f>C13</f>
        <v>41528</v>
      </c>
      <c r="D14" s="35">
        <f>C14+6</f>
        <v>41534</v>
      </c>
      <c r="E14" s="36" t="str">
        <f>(ROUNDUP(D14-C14,0)+1) &amp; " days"</f>
        <v>7 days</v>
      </c>
      <c r="F14" s="37"/>
      <c r="G14" s="38"/>
      <c r="H14" s="38"/>
      <c r="I14" s="38"/>
      <c r="J14" s="38"/>
      <c r="K14" s="38"/>
      <c r="L14" s="39"/>
      <c r="M14" s="39"/>
      <c r="N14" s="39"/>
      <c r="O14" s="39"/>
      <c r="P14" s="40"/>
      <c r="Q14" s="40"/>
      <c r="R14" s="40"/>
      <c r="S14" s="40"/>
      <c r="T14" s="40"/>
      <c r="U14" s="40"/>
      <c r="V14" s="40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41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  <c r="FI14" s="42"/>
      <c r="FJ14" s="42"/>
      <c r="FK14" s="42"/>
      <c r="FL14" s="42"/>
      <c r="FM14" s="42"/>
      <c r="FN14" s="42"/>
      <c r="FO14" s="42"/>
      <c r="FP14" s="42"/>
      <c r="FQ14" s="42"/>
      <c r="FR14" s="42"/>
      <c r="FS14" s="42"/>
      <c r="FT14" s="42"/>
      <c r="FU14" s="42"/>
      <c r="FV14" s="42"/>
      <c r="FW14" s="42"/>
      <c r="FX14" s="42"/>
      <c r="FY14" s="42"/>
      <c r="FZ14" s="42"/>
      <c r="GA14" s="42"/>
      <c r="GB14" s="42"/>
      <c r="GC14" s="42"/>
      <c r="GD14" s="42"/>
      <c r="GE14" s="42"/>
      <c r="GF14" s="42"/>
      <c r="GG14" s="42"/>
      <c r="GH14" s="42"/>
      <c r="GI14" s="42"/>
      <c r="GJ14" s="42"/>
      <c r="GK14" s="42"/>
      <c r="GL14" s="42"/>
      <c r="GM14" s="42"/>
      <c r="GN14" s="42"/>
      <c r="GO14" s="42"/>
      <c r="GP14" s="42"/>
      <c r="GQ14" s="42"/>
      <c r="GR14" s="42"/>
      <c r="GS14" s="42"/>
      <c r="GT14" s="42"/>
      <c r="GU14" s="42"/>
      <c r="GV14" s="42"/>
      <c r="GW14" s="42"/>
      <c r="GX14" s="42"/>
      <c r="GY14" s="42"/>
      <c r="GZ14" s="42"/>
      <c r="HA14" s="42"/>
      <c r="HB14" s="42"/>
      <c r="HC14" s="42"/>
      <c r="HD14" s="42"/>
      <c r="HE14" s="42"/>
      <c r="HF14" s="42"/>
      <c r="HG14" s="42"/>
      <c r="HH14" s="42"/>
      <c r="HI14" s="42"/>
      <c r="HJ14" s="42"/>
      <c r="HK14" s="42"/>
      <c r="HL14" s="42"/>
      <c r="HM14" s="42"/>
      <c r="HN14" s="42"/>
      <c r="HO14" s="42"/>
      <c r="HP14" s="42"/>
      <c r="HQ14" s="42"/>
      <c r="HR14" s="42"/>
      <c r="HS14" s="42"/>
      <c r="HT14" s="42"/>
      <c r="HU14" s="42"/>
      <c r="HV14" s="42"/>
      <c r="HW14" s="42"/>
      <c r="HX14" s="42"/>
      <c r="HY14" s="42"/>
      <c r="HZ14" s="42"/>
      <c r="IA14" s="42"/>
      <c r="IB14" s="42"/>
      <c r="IC14" s="42"/>
      <c r="ID14" s="42"/>
      <c r="IE14" s="42"/>
      <c r="IF14" s="42"/>
      <c r="IG14" s="42"/>
      <c r="IH14" s="42"/>
      <c r="II14" s="42"/>
      <c r="IJ14" s="42"/>
      <c r="IK14" s="42"/>
      <c r="IL14" s="42"/>
      <c r="IM14" s="42"/>
      <c r="IN14" s="42"/>
      <c r="IO14" s="42"/>
      <c r="IP14" s="42"/>
      <c r="IQ14" s="42"/>
      <c r="IR14" s="42"/>
      <c r="IS14" s="42"/>
      <c r="IT14" s="42"/>
      <c r="IU14" s="42"/>
      <c r="IV14" s="42"/>
      <c r="IW14" s="42"/>
      <c r="IX14" s="42"/>
      <c r="IY14" s="42"/>
      <c r="IZ14" s="42"/>
      <c r="JA14" s="42"/>
      <c r="JB14" s="42"/>
      <c r="JC14" s="42"/>
      <c r="JD14" s="42"/>
      <c r="JE14" s="42"/>
      <c r="JF14" s="42"/>
      <c r="JG14" s="42"/>
      <c r="JH14" s="42"/>
      <c r="JI14" s="42"/>
      <c r="JJ14" s="42"/>
      <c r="JK14" s="42"/>
      <c r="JL14" s="42"/>
      <c r="JM14" s="42"/>
      <c r="JN14" s="42"/>
      <c r="JO14" s="42"/>
      <c r="JP14" s="42"/>
      <c r="JQ14" s="42"/>
      <c r="JR14" s="42"/>
      <c r="JS14" s="42"/>
      <c r="JT14" s="42"/>
      <c r="JU14" s="42"/>
      <c r="JV14" s="42"/>
      <c r="JW14" s="42"/>
      <c r="JX14" s="42"/>
      <c r="JY14" s="42"/>
      <c r="JZ14" s="42"/>
      <c r="KA14" s="42"/>
      <c r="KB14" s="42"/>
      <c r="KC14" s="42"/>
      <c r="KD14" s="42"/>
      <c r="KE14" s="42"/>
      <c r="KF14" s="42"/>
      <c r="KG14" s="42"/>
      <c r="KH14" s="42"/>
      <c r="KI14" s="42"/>
      <c r="KJ14" s="42"/>
      <c r="KK14" s="42"/>
      <c r="KL14" s="42"/>
      <c r="KM14" s="42"/>
      <c r="KN14" s="42"/>
      <c r="KO14" s="42"/>
      <c r="KP14" s="42"/>
      <c r="KQ14" s="42"/>
      <c r="KR14" s="42"/>
      <c r="KS14" s="42"/>
      <c r="KT14" s="42"/>
      <c r="KU14" s="42"/>
      <c r="KV14" s="42"/>
      <c r="KW14" s="42"/>
      <c r="KX14" s="42"/>
      <c r="KY14" s="42"/>
      <c r="KZ14" s="42"/>
      <c r="LA14" s="42"/>
      <c r="LB14" s="42"/>
      <c r="LC14" s="42"/>
      <c r="LD14" s="42"/>
      <c r="LE14" s="42"/>
      <c r="LF14" s="42"/>
      <c r="LG14" s="42"/>
      <c r="LH14" s="42"/>
      <c r="LI14" s="42"/>
      <c r="LJ14" s="42"/>
      <c r="LK14" s="42"/>
      <c r="LL14" s="42"/>
      <c r="LM14" s="42"/>
      <c r="LN14" s="42"/>
      <c r="LO14" s="42"/>
      <c r="LP14" s="42"/>
      <c r="LQ14" s="42"/>
      <c r="LR14" s="42"/>
      <c r="LS14" s="42"/>
      <c r="LT14" s="42"/>
      <c r="LU14" s="42"/>
      <c r="LV14" s="42"/>
      <c r="LW14" s="42"/>
      <c r="LX14" s="42"/>
      <c r="LY14" s="42"/>
      <c r="LZ14" s="42"/>
      <c r="MA14" s="42"/>
      <c r="MB14" s="42"/>
      <c r="MC14" s="42"/>
      <c r="MD14" s="42"/>
      <c r="ME14" s="42"/>
      <c r="MF14" s="42"/>
      <c r="MG14" s="42"/>
      <c r="MH14" s="42"/>
      <c r="MI14" s="42"/>
      <c r="MJ14" s="42"/>
      <c r="MK14" s="42"/>
      <c r="ML14" s="42"/>
      <c r="MM14" s="42"/>
      <c r="MN14" s="42"/>
      <c r="MO14" s="42"/>
      <c r="MP14" s="42"/>
      <c r="MQ14" s="42"/>
      <c r="MR14" s="42"/>
      <c r="MS14" s="42"/>
      <c r="MT14" s="42"/>
      <c r="MU14" s="42"/>
      <c r="MV14" s="42"/>
      <c r="MW14" s="42"/>
      <c r="MX14" s="42"/>
      <c r="MY14" s="42"/>
      <c r="MZ14" s="42"/>
      <c r="NA14" s="42"/>
      <c r="NB14" s="42"/>
      <c r="NC14" s="42"/>
      <c r="ND14" s="42"/>
      <c r="NE14" s="42"/>
      <c r="NF14" s="42"/>
      <c r="NG14" s="42"/>
      <c r="NH14" s="42"/>
      <c r="NI14" s="42"/>
      <c r="NJ14" s="42"/>
      <c r="NK14" s="42"/>
      <c r="NL14" s="42"/>
      <c r="NM14" s="42"/>
      <c r="NN14" s="42"/>
      <c r="NO14" s="42"/>
      <c r="NP14" s="42"/>
      <c r="NQ14" s="42"/>
      <c r="NR14" s="42"/>
      <c r="NS14" s="42"/>
      <c r="NT14" s="42"/>
      <c r="NU14" s="42"/>
      <c r="NV14" s="42"/>
      <c r="NW14" s="42"/>
      <c r="NX14" s="42"/>
      <c r="NY14" s="42"/>
      <c r="NZ14" s="42"/>
      <c r="OA14" s="42"/>
      <c r="OB14" s="42"/>
      <c r="OC14" s="42"/>
      <c r="OD14" s="42"/>
      <c r="OE14" s="42"/>
      <c r="OF14" s="42"/>
      <c r="OG14" s="42"/>
      <c r="OH14" s="42"/>
      <c r="OI14" s="42"/>
      <c r="OJ14" s="42"/>
      <c r="OK14" s="42"/>
      <c r="OL14" s="42"/>
      <c r="OM14" s="42"/>
      <c r="ON14" s="42"/>
      <c r="OO14" s="42"/>
      <c r="OP14" s="42"/>
      <c r="OQ14" s="42"/>
      <c r="OR14" s="42"/>
      <c r="OS14" s="42"/>
      <c r="OT14" s="42"/>
      <c r="OU14" s="42"/>
      <c r="OV14" s="42"/>
      <c r="OW14" s="42"/>
      <c r="OX14" s="42"/>
      <c r="OY14" s="42"/>
      <c r="OZ14" s="42"/>
      <c r="PA14" s="42"/>
      <c r="PB14" s="42"/>
      <c r="PC14" s="42"/>
      <c r="PD14" s="42"/>
      <c r="PE14" s="42"/>
      <c r="PF14" s="42"/>
      <c r="PG14" s="42"/>
      <c r="PH14" s="42"/>
      <c r="PI14" s="42"/>
      <c r="PJ14" s="42"/>
      <c r="PK14" s="42"/>
      <c r="PL14" s="42"/>
      <c r="PM14" s="42"/>
      <c r="PN14" s="42"/>
      <c r="PO14" s="42"/>
      <c r="PP14" s="42"/>
      <c r="PQ14" s="42"/>
      <c r="PR14" s="42"/>
      <c r="PS14" s="42"/>
      <c r="PT14" s="42"/>
      <c r="PU14" s="42"/>
      <c r="PV14" s="42"/>
      <c r="PW14" s="42"/>
      <c r="PX14" s="42"/>
      <c r="PY14" s="42"/>
      <c r="PZ14" s="42"/>
      <c r="QA14" s="42"/>
      <c r="QB14" s="42"/>
      <c r="QC14" s="42"/>
      <c r="QD14" s="42"/>
      <c r="QE14" s="42"/>
      <c r="QF14" s="42"/>
      <c r="QG14" s="42"/>
      <c r="QH14" s="42"/>
      <c r="QI14" s="42"/>
      <c r="QJ14" s="42"/>
      <c r="QK14" s="42"/>
      <c r="QL14" s="42"/>
      <c r="QM14" s="42"/>
      <c r="QN14" s="42"/>
      <c r="QO14" s="42"/>
      <c r="QP14" s="42"/>
      <c r="QQ14" s="42"/>
      <c r="QR14" s="42"/>
      <c r="QS14" s="42"/>
      <c r="QT14" s="42"/>
      <c r="QU14" s="42"/>
      <c r="QV14" s="42"/>
      <c r="QW14" s="42"/>
      <c r="QX14" s="42"/>
      <c r="QY14" s="42"/>
      <c r="QZ14" s="42"/>
      <c r="RA14" s="42"/>
      <c r="RB14" s="42"/>
      <c r="RC14" s="42"/>
      <c r="RD14" s="42"/>
      <c r="RE14" s="42"/>
      <c r="RF14" s="42"/>
      <c r="RG14" s="42"/>
      <c r="RH14" s="42"/>
      <c r="RI14" s="42"/>
      <c r="RJ14" s="42"/>
      <c r="RK14" s="42"/>
      <c r="RL14" s="42"/>
      <c r="RM14" s="42"/>
      <c r="RN14" s="42"/>
      <c r="RO14" s="42"/>
      <c r="RP14" s="42"/>
      <c r="RQ14" s="42"/>
      <c r="RR14" s="42"/>
      <c r="RS14" s="42"/>
      <c r="RT14" s="42"/>
      <c r="RU14" s="42"/>
      <c r="RV14" s="42"/>
      <c r="RW14" s="42"/>
      <c r="RX14" s="42"/>
      <c r="RY14" s="42"/>
      <c r="RZ14" s="42"/>
      <c r="SA14" s="42"/>
      <c r="SB14" s="42"/>
      <c r="SC14" s="42"/>
      <c r="SD14" s="42"/>
      <c r="SE14" s="42"/>
      <c r="SF14" s="42"/>
      <c r="SG14" s="42"/>
      <c r="SH14" s="42"/>
      <c r="SI14" s="42"/>
      <c r="SJ14" s="42"/>
      <c r="SK14" s="42"/>
      <c r="SL14" s="42"/>
      <c r="SM14" s="42"/>
      <c r="SN14" s="42"/>
      <c r="SO14" s="42"/>
      <c r="SP14" s="42"/>
      <c r="SQ14" s="42"/>
      <c r="SR14" s="42"/>
      <c r="SS14" s="42"/>
      <c r="ST14" s="42"/>
      <c r="SU14" s="42"/>
      <c r="SV14" s="42"/>
      <c r="SW14" s="42"/>
      <c r="SX14" s="42"/>
      <c r="SY14" s="42"/>
      <c r="SZ14" s="42"/>
      <c r="TA14" s="42"/>
      <c r="TB14" s="42"/>
      <c r="TC14" s="42"/>
      <c r="TD14" s="42"/>
      <c r="TE14" s="42"/>
      <c r="TF14" s="42"/>
      <c r="TG14" s="42"/>
      <c r="TH14" s="42"/>
      <c r="TI14" s="42"/>
      <c r="TJ14" s="42"/>
      <c r="TK14" s="42"/>
      <c r="TL14" s="42"/>
      <c r="TM14" s="42"/>
      <c r="TN14" s="42"/>
      <c r="TO14" s="42"/>
      <c r="TP14" s="42"/>
      <c r="TQ14" s="42"/>
      <c r="TR14" s="42"/>
      <c r="TS14" s="42"/>
      <c r="TT14" s="42"/>
      <c r="TU14" s="42"/>
      <c r="TV14" s="42"/>
      <c r="TW14" s="42"/>
      <c r="TX14" s="42"/>
      <c r="TY14" s="42"/>
      <c r="TZ14" s="42"/>
      <c r="UA14" s="42"/>
      <c r="UB14" s="42"/>
      <c r="UC14" s="42"/>
      <c r="UD14" s="42"/>
      <c r="UE14" s="42"/>
      <c r="UF14" s="42"/>
      <c r="UG14" s="42"/>
      <c r="UH14" s="42"/>
      <c r="UI14" s="42"/>
      <c r="UJ14" s="42"/>
      <c r="UK14" s="42"/>
      <c r="UL14" s="42"/>
      <c r="UM14" s="42"/>
      <c r="UN14" s="42"/>
      <c r="UO14" s="42"/>
      <c r="UP14" s="42"/>
      <c r="UQ14" s="42"/>
      <c r="UR14" s="42"/>
      <c r="US14" s="42"/>
      <c r="UT14" s="42"/>
      <c r="UU14" s="42"/>
      <c r="UV14" s="42"/>
      <c r="UW14" s="42"/>
      <c r="UX14" s="42"/>
      <c r="UY14" s="42"/>
      <c r="UZ14" s="42"/>
      <c r="VA14" s="42"/>
      <c r="VB14" s="42"/>
      <c r="VC14" s="42"/>
      <c r="VD14" s="42"/>
      <c r="VE14" s="42"/>
      <c r="VF14" s="42"/>
      <c r="VG14" s="42"/>
      <c r="VH14" s="42"/>
      <c r="VI14" s="42"/>
      <c r="VJ14" s="42"/>
      <c r="VK14" s="42"/>
      <c r="VL14" s="42"/>
      <c r="VM14" s="42"/>
      <c r="VN14" s="42"/>
      <c r="VO14" s="42"/>
      <c r="VP14" s="42"/>
      <c r="VQ14" s="42"/>
      <c r="VR14" s="42"/>
      <c r="VS14" s="42"/>
      <c r="VT14" s="42"/>
      <c r="VU14" s="42"/>
      <c r="VV14" s="42"/>
      <c r="VW14" s="42"/>
      <c r="VX14" s="42"/>
      <c r="VY14" s="42"/>
      <c r="VZ14" s="42"/>
      <c r="WA14" s="42"/>
      <c r="WB14" s="42"/>
      <c r="WC14" s="42"/>
      <c r="WD14" s="42"/>
      <c r="WE14" s="42"/>
      <c r="WF14" s="42"/>
      <c r="WG14" s="42"/>
      <c r="WH14" s="42"/>
      <c r="WI14" s="42"/>
      <c r="WJ14" s="42"/>
      <c r="WK14" s="42"/>
      <c r="WL14" s="42"/>
      <c r="WM14" s="42"/>
      <c r="WN14" s="42"/>
      <c r="WO14" s="42"/>
      <c r="WP14" s="42"/>
      <c r="WQ14" s="42"/>
      <c r="WR14" s="42"/>
      <c r="WS14" s="42"/>
      <c r="WT14" s="42"/>
      <c r="WU14" s="42"/>
      <c r="WV14" s="42"/>
      <c r="WW14" s="42"/>
      <c r="WX14" s="42"/>
      <c r="WY14" s="42"/>
      <c r="WZ14" s="42"/>
      <c r="XA14" s="42"/>
      <c r="XB14" s="42"/>
      <c r="XC14" s="42"/>
      <c r="XD14" s="42"/>
      <c r="XE14" s="42"/>
      <c r="XF14" s="42"/>
      <c r="XG14" s="42"/>
      <c r="XH14" s="42"/>
      <c r="XI14" s="42"/>
      <c r="XJ14" s="42"/>
      <c r="XK14" s="42"/>
      <c r="XL14" s="42"/>
      <c r="XM14" s="42"/>
      <c r="XN14" s="42"/>
      <c r="XO14" s="42"/>
      <c r="XP14" s="42"/>
      <c r="XQ14" s="42"/>
      <c r="XR14" s="42"/>
      <c r="XS14" s="42"/>
      <c r="XT14" s="42"/>
      <c r="XU14" s="42"/>
      <c r="XV14" s="42"/>
      <c r="XW14" s="42"/>
      <c r="XX14" s="42"/>
      <c r="XY14" s="42"/>
      <c r="XZ14" s="42"/>
      <c r="YA14" s="42"/>
      <c r="YB14" s="42"/>
      <c r="YC14" s="42"/>
      <c r="YD14" s="42"/>
      <c r="YE14" s="42"/>
      <c r="YF14" s="42"/>
      <c r="YG14" s="42"/>
      <c r="YH14" s="42"/>
      <c r="YI14" s="42"/>
      <c r="YJ14" s="42"/>
      <c r="YK14" s="42"/>
      <c r="YL14" s="42"/>
      <c r="YM14" s="42"/>
      <c r="YN14" s="42"/>
      <c r="YO14" s="42"/>
      <c r="YP14" s="42"/>
      <c r="YQ14" s="42"/>
      <c r="YR14" s="42"/>
      <c r="YS14" s="42"/>
      <c r="YT14" s="42"/>
      <c r="YU14" s="42"/>
      <c r="YV14" s="42"/>
      <c r="YW14" s="42"/>
      <c r="YX14" s="42"/>
      <c r="YY14" s="42"/>
      <c r="YZ14" s="42"/>
      <c r="ZA14" s="42"/>
      <c r="ZB14" s="42"/>
      <c r="ZC14" s="42"/>
      <c r="ZD14" s="42"/>
      <c r="ZE14" s="42"/>
      <c r="ZF14" s="42"/>
      <c r="ZG14" s="42"/>
      <c r="ZH14" s="42"/>
      <c r="ZI14" s="42"/>
      <c r="ZJ14" s="42"/>
      <c r="ZK14" s="42"/>
      <c r="ZL14" s="42"/>
      <c r="ZM14" s="42"/>
      <c r="ZN14" s="42"/>
      <c r="ZO14" s="42"/>
      <c r="ZP14" s="42"/>
      <c r="ZQ14" s="42"/>
      <c r="ZR14" s="42"/>
      <c r="ZS14" s="42"/>
      <c r="ZT14" s="42"/>
      <c r="ZU14" s="42"/>
      <c r="ZV14" s="42"/>
      <c r="ZW14" s="42"/>
      <c r="ZX14" s="42"/>
      <c r="ZY14" s="42"/>
      <c r="ZZ14" s="42"/>
      <c r="AAA14" s="42"/>
      <c r="AAB14" s="42"/>
      <c r="AAC14" s="42"/>
      <c r="AAD14" s="42"/>
      <c r="AAE14" s="42"/>
      <c r="AAF14" s="42"/>
      <c r="AAG14" s="42"/>
      <c r="AAH14" s="42"/>
      <c r="AAI14" s="42"/>
      <c r="AAJ14" s="42"/>
      <c r="AAK14" s="42"/>
      <c r="AAL14" s="42"/>
      <c r="AAM14" s="42"/>
      <c r="AAN14" s="42"/>
      <c r="AAO14" s="42"/>
      <c r="AAP14" s="42"/>
      <c r="AAQ14" s="42"/>
      <c r="AAR14" s="42"/>
      <c r="AAS14" s="42"/>
      <c r="AAT14" s="42"/>
      <c r="AAU14" s="42"/>
      <c r="AAV14" s="42"/>
      <c r="AAW14" s="42"/>
      <c r="AAX14" s="42"/>
      <c r="AAY14" s="42"/>
      <c r="AAZ14" s="42"/>
      <c r="ABA14" s="42"/>
      <c r="ABB14" s="42"/>
      <c r="ABC14" s="42"/>
      <c r="ABD14" s="42"/>
      <c r="ABE14" s="42"/>
      <c r="ABF14" s="42"/>
      <c r="ABG14" s="42"/>
      <c r="ABH14" s="42"/>
      <c r="ABI14" s="42"/>
      <c r="ABJ14" s="42"/>
      <c r="ABK14" s="42"/>
      <c r="ABL14" s="42"/>
      <c r="ABM14" s="42"/>
      <c r="ABN14" s="42"/>
      <c r="ABO14" s="42"/>
      <c r="ABP14" s="42"/>
      <c r="ABQ14" s="42"/>
      <c r="ABR14" s="42"/>
      <c r="ABS14" s="42"/>
      <c r="ABT14" s="42"/>
      <c r="ABU14" s="42"/>
      <c r="ABV14" s="42"/>
      <c r="ABW14" s="42"/>
      <c r="ABX14" s="42"/>
      <c r="ABY14" s="42"/>
      <c r="ABZ14" s="42"/>
      <c r="ACA14" s="42"/>
      <c r="ACB14" s="42"/>
      <c r="ACC14" s="42"/>
      <c r="ACD14" s="42"/>
      <c r="ACE14" s="42"/>
      <c r="ACF14" s="42"/>
      <c r="ACG14" s="42"/>
      <c r="ACH14" s="42"/>
      <c r="ACI14" s="42"/>
      <c r="ACJ14" s="42"/>
      <c r="ACK14" s="42"/>
      <c r="ACL14" s="42"/>
      <c r="ACM14" s="42"/>
      <c r="ACN14" s="42"/>
      <c r="ACO14" s="42"/>
      <c r="ACP14" s="42"/>
      <c r="ACQ14" s="42"/>
      <c r="ACR14" s="42"/>
      <c r="ACS14" s="42"/>
      <c r="ACT14" s="42"/>
      <c r="ACU14" s="42"/>
      <c r="ACV14" s="42"/>
      <c r="ACW14" s="42"/>
      <c r="ACX14" s="42"/>
      <c r="ACY14" s="42"/>
      <c r="ACZ14" s="42"/>
      <c r="ADA14" s="42"/>
      <c r="ADB14" s="42"/>
      <c r="ADC14" s="42"/>
      <c r="ADD14" s="42"/>
      <c r="ADE14" s="42"/>
      <c r="ADF14" s="42"/>
      <c r="ADG14" s="42"/>
      <c r="ADH14" s="42"/>
      <c r="ADI14" s="42"/>
      <c r="ADJ14" s="42"/>
      <c r="ADK14" s="42"/>
      <c r="ADL14" s="42"/>
      <c r="ADM14" s="42"/>
      <c r="ADN14" s="42"/>
      <c r="ADO14" s="42"/>
      <c r="ADP14" s="42"/>
      <c r="ADQ14" s="42"/>
      <c r="ADR14" s="42"/>
      <c r="ADS14" s="42"/>
      <c r="ADT14" s="42"/>
      <c r="ADU14" s="42"/>
      <c r="ADV14" s="42"/>
      <c r="ADW14" s="42"/>
      <c r="ADX14" s="42"/>
      <c r="ADY14" s="42"/>
      <c r="ADZ14" s="42"/>
      <c r="AEA14" s="42"/>
      <c r="AEB14" s="42"/>
      <c r="AEC14" s="42"/>
      <c r="AED14" s="42"/>
      <c r="AEE14" s="42"/>
      <c r="AEF14" s="42"/>
      <c r="AEG14" s="42"/>
      <c r="AEH14" s="42"/>
      <c r="AEI14" s="42"/>
      <c r="AEJ14" s="42"/>
      <c r="AEK14" s="42"/>
      <c r="AEL14" s="42"/>
      <c r="AEM14" s="42"/>
      <c r="AEN14" s="42"/>
      <c r="AEO14" s="42"/>
      <c r="AEP14" s="42"/>
      <c r="AEQ14" s="42"/>
      <c r="AER14" s="42"/>
      <c r="AES14" s="42"/>
      <c r="AET14" s="42"/>
      <c r="AEU14" s="42"/>
      <c r="AEV14" s="42"/>
      <c r="AEW14" s="42"/>
      <c r="AEX14" s="42"/>
      <c r="AEY14" s="42"/>
      <c r="AEZ14" s="42"/>
      <c r="AFA14" s="42"/>
      <c r="AFB14" s="42"/>
      <c r="AFC14" s="42"/>
      <c r="AFD14" s="42"/>
      <c r="AFE14" s="42"/>
      <c r="AFF14" s="42"/>
      <c r="AFG14" s="42"/>
      <c r="AFH14" s="42"/>
      <c r="AFI14" s="42"/>
      <c r="AFJ14" s="42"/>
      <c r="AFK14" s="42"/>
      <c r="AFL14" s="42"/>
      <c r="AFM14" s="42"/>
      <c r="AFN14" s="42"/>
      <c r="AFO14" s="42"/>
      <c r="AFP14" s="42"/>
      <c r="AFQ14" s="42"/>
      <c r="AFR14" s="42"/>
      <c r="AFS14" s="42"/>
      <c r="AFT14" s="42"/>
      <c r="AFU14" s="42"/>
      <c r="AFV14" s="42"/>
      <c r="AFW14" s="42"/>
      <c r="AFX14" s="42"/>
      <c r="AFY14" s="42"/>
      <c r="AFZ14" s="42"/>
      <c r="AGA14" s="42"/>
      <c r="AGB14" s="42"/>
      <c r="AGC14" s="42"/>
      <c r="AGD14" s="42"/>
      <c r="AGE14" s="42"/>
      <c r="AGF14" s="42"/>
      <c r="AGG14" s="42"/>
      <c r="AGH14" s="42"/>
      <c r="AGI14" s="42"/>
      <c r="AGJ14" s="42"/>
      <c r="AGK14" s="42"/>
      <c r="AGL14" s="42"/>
      <c r="AGM14" s="42"/>
      <c r="AGN14" s="42"/>
      <c r="AGO14" s="42"/>
      <c r="AGP14" s="42"/>
      <c r="AGQ14" s="42"/>
      <c r="AGR14" s="42"/>
      <c r="AGS14" s="42"/>
      <c r="AGT14" s="42"/>
      <c r="AGU14" s="42"/>
      <c r="AGV14" s="42"/>
      <c r="AGW14" s="42"/>
      <c r="AGX14" s="42"/>
      <c r="AGY14" s="42"/>
      <c r="AGZ14" s="42"/>
      <c r="AHA14" s="42"/>
      <c r="AHB14" s="42"/>
      <c r="AHC14" s="42"/>
      <c r="AHD14" s="42"/>
      <c r="AHE14" s="42"/>
      <c r="AHF14" s="42"/>
      <c r="AHG14" s="42"/>
      <c r="AHH14" s="42"/>
      <c r="AHI14" s="42"/>
      <c r="AHJ14" s="42"/>
      <c r="AHK14" s="42"/>
      <c r="AHL14" s="42"/>
      <c r="AHM14" s="42"/>
      <c r="AHN14" s="42"/>
      <c r="AHO14" s="42"/>
      <c r="AHP14" s="42"/>
      <c r="AHQ14" s="42"/>
      <c r="AHR14" s="42"/>
      <c r="AHS14" s="42"/>
      <c r="AHT14" s="42"/>
      <c r="AHU14" s="42"/>
      <c r="AHV14" s="42"/>
      <c r="AHW14" s="42"/>
      <c r="AHX14" s="42"/>
      <c r="AHY14" s="42"/>
      <c r="AHZ14" s="42"/>
      <c r="AIA14" s="42"/>
      <c r="AIB14" s="42"/>
      <c r="AIC14" s="42"/>
      <c r="AID14" s="42"/>
      <c r="AIE14" s="42"/>
      <c r="AIF14" s="42"/>
      <c r="AIG14" s="42"/>
      <c r="AIH14" s="42"/>
      <c r="AII14" s="42"/>
      <c r="AIJ14" s="42"/>
      <c r="AIK14" s="42"/>
      <c r="AIL14" s="42"/>
      <c r="AIM14" s="42"/>
      <c r="AIN14" s="42"/>
      <c r="AIO14" s="42"/>
      <c r="AIP14" s="42"/>
      <c r="AIQ14" s="42"/>
      <c r="AIR14" s="42"/>
      <c r="AIS14" s="42"/>
      <c r="AIT14" s="42"/>
      <c r="AIU14" s="42"/>
      <c r="AIV14" s="42"/>
      <c r="AIW14" s="42"/>
      <c r="AIX14" s="42"/>
      <c r="AIY14" s="42"/>
      <c r="AIZ14" s="42"/>
      <c r="AJA14" s="42"/>
      <c r="AJB14" s="42"/>
      <c r="AJC14" s="42"/>
      <c r="AJD14" s="42"/>
      <c r="AJE14" s="42"/>
      <c r="AJF14" s="42"/>
      <c r="AJG14" s="42"/>
      <c r="AJH14" s="42"/>
      <c r="AJI14" s="42"/>
      <c r="AJJ14" s="42"/>
      <c r="AJK14" s="42"/>
      <c r="AJL14" s="42"/>
      <c r="AJM14" s="42"/>
      <c r="AJN14" s="42"/>
      <c r="AJO14" s="42"/>
      <c r="AJP14" s="42"/>
      <c r="AJQ14" s="42"/>
      <c r="AJR14" s="42"/>
      <c r="AJS14" s="42"/>
      <c r="AJT14" s="42"/>
      <c r="AJU14" s="42"/>
      <c r="AJV14" s="42"/>
      <c r="AJW14" s="42"/>
      <c r="AJX14" s="42"/>
      <c r="AJY14" s="42"/>
      <c r="AJZ14" s="42"/>
      <c r="AKA14" s="42"/>
      <c r="AKB14" s="42"/>
      <c r="AKC14" s="42"/>
      <c r="AKD14" s="42"/>
      <c r="AKE14" s="42"/>
      <c r="AKF14" s="42"/>
      <c r="AKG14" s="42"/>
      <c r="AKH14" s="42"/>
      <c r="AKI14" s="42"/>
      <c r="AKJ14" s="42"/>
      <c r="AKK14" s="42"/>
      <c r="AKL14" s="42"/>
      <c r="AKM14" s="42"/>
      <c r="AKN14" s="42"/>
      <c r="AKO14" s="42"/>
      <c r="AKP14" s="42"/>
      <c r="AKQ14" s="42"/>
      <c r="AKR14" s="42"/>
      <c r="AKS14" s="42"/>
      <c r="AKT14" s="42"/>
      <c r="AKU14" s="42"/>
      <c r="AKV14" s="42"/>
      <c r="AKW14" s="42"/>
      <c r="AKX14" s="42"/>
      <c r="AKY14" s="42"/>
      <c r="AKZ14" s="42"/>
      <c r="ALA14" s="42"/>
      <c r="ALB14" s="42"/>
      <c r="ALC14" s="42"/>
      <c r="ALD14" s="42"/>
      <c r="ALE14" s="42"/>
      <c r="ALF14" s="42"/>
      <c r="ALG14" s="42"/>
      <c r="ALH14" s="42"/>
      <c r="ALI14" s="42"/>
      <c r="ALJ14" s="42"/>
      <c r="ALK14" s="42"/>
      <c r="ALL14" s="42"/>
      <c r="ALM14" s="42"/>
      <c r="ALN14" s="42"/>
      <c r="ALO14" s="42"/>
      <c r="ALP14" s="42"/>
      <c r="ALQ14" s="42"/>
      <c r="ALR14" s="42"/>
      <c r="ALS14" s="42"/>
      <c r="ALT14" s="42"/>
      <c r="ALU14" s="42"/>
      <c r="ALV14" s="42"/>
      <c r="ALW14" s="42"/>
      <c r="ALX14" s="42"/>
      <c r="ALY14" s="42"/>
      <c r="ALZ14" s="42"/>
      <c r="AMA14" s="42"/>
      <c r="AMB14" s="42"/>
      <c r="AMC14" s="42"/>
      <c r="AMD14" s="42"/>
      <c r="AME14" s="42"/>
      <c r="AMF14" s="42"/>
      <c r="AMG14" s="42"/>
      <c r="AMH14" s="42"/>
      <c r="AMI14" s="42"/>
      <c r="AMJ14" s="42"/>
      <c r="AMK14" s="42"/>
      <c r="AML14" s="42"/>
      <c r="AMM14" s="42"/>
      <c r="AMN14" s="42"/>
      <c r="AMO14" s="42"/>
      <c r="AMP14" s="42"/>
      <c r="AMQ14" s="42"/>
      <c r="AMR14" s="42"/>
      <c r="AMS14" s="42"/>
      <c r="AMT14" s="42"/>
      <c r="AMU14" s="42"/>
      <c r="AMV14" s="42"/>
      <c r="AMW14" s="42"/>
      <c r="AMX14" s="42"/>
      <c r="AMY14" s="42"/>
      <c r="AMZ14" s="42"/>
      <c r="ANA14" s="42"/>
      <c r="ANB14" s="42"/>
      <c r="ANC14" s="42"/>
      <c r="AND14" s="42"/>
      <c r="ANE14" s="42"/>
      <c r="ANF14" s="42"/>
      <c r="ANG14" s="42"/>
      <c r="ANH14" s="42"/>
      <c r="ANI14" s="42"/>
      <c r="ANJ14" s="42"/>
      <c r="ANK14" s="42"/>
      <c r="ANL14" s="42"/>
      <c r="ANM14" s="42"/>
      <c r="ANN14" s="42"/>
      <c r="ANO14" s="42"/>
      <c r="ANP14" s="42"/>
      <c r="ANQ14" s="42"/>
      <c r="ANR14" s="42"/>
      <c r="ANS14" s="42"/>
      <c r="ANT14" s="42"/>
      <c r="ANU14" s="42"/>
      <c r="ANV14" s="42"/>
      <c r="ANW14" s="42"/>
      <c r="ANX14" s="42"/>
      <c r="ANY14" s="42"/>
      <c r="ANZ14" s="42"/>
      <c r="AOA14" s="42"/>
      <c r="AOB14" s="42"/>
      <c r="AOC14" s="42"/>
      <c r="AOD14" s="42"/>
      <c r="AOE14" s="42"/>
      <c r="AOF14" s="42"/>
      <c r="AOG14" s="42"/>
      <c r="AOH14" s="42"/>
      <c r="AOI14" s="42"/>
      <c r="AOJ14" s="42"/>
      <c r="AOK14" s="42"/>
      <c r="AOL14" s="42"/>
      <c r="AOM14" s="42"/>
      <c r="AON14" s="42"/>
      <c r="AOO14" s="42"/>
      <c r="AOP14" s="42"/>
      <c r="AOQ14" s="42"/>
      <c r="AOR14" s="42"/>
      <c r="AOS14" s="42"/>
      <c r="AOT14" s="42"/>
      <c r="AOU14" s="42"/>
      <c r="AOV14" s="42"/>
      <c r="AOW14" s="42"/>
      <c r="AOX14" s="42"/>
      <c r="AOY14" s="42"/>
      <c r="AOZ14" s="42"/>
      <c r="APA14" s="42"/>
      <c r="APB14" s="42"/>
      <c r="APC14" s="42"/>
      <c r="APD14" s="42"/>
      <c r="APE14" s="42"/>
      <c r="APF14" s="42"/>
      <c r="APG14" s="42"/>
      <c r="APH14" s="42"/>
      <c r="API14" s="42"/>
      <c r="APJ14" s="42"/>
      <c r="APK14" s="42"/>
      <c r="APL14" s="42"/>
      <c r="APM14" s="42"/>
      <c r="APN14" s="42"/>
      <c r="APO14" s="42"/>
      <c r="APP14" s="42"/>
      <c r="APQ14" s="42"/>
      <c r="APR14" s="42"/>
      <c r="APS14" s="42"/>
      <c r="APT14" s="42"/>
      <c r="APU14" s="42"/>
      <c r="APV14" s="42"/>
      <c r="APW14" s="42"/>
      <c r="APX14" s="42"/>
      <c r="APY14" s="42"/>
      <c r="APZ14" s="42"/>
      <c r="AQA14" s="42"/>
      <c r="AQB14" s="42"/>
      <c r="AQC14" s="42"/>
      <c r="AQD14" s="42"/>
      <c r="AQE14" s="42"/>
      <c r="AQF14" s="42"/>
      <c r="AQG14" s="42"/>
      <c r="AQH14" s="42"/>
      <c r="AQI14" s="42"/>
      <c r="AQJ14" s="42"/>
      <c r="AQK14" s="42"/>
      <c r="AQL14" s="42"/>
      <c r="AQM14" s="42"/>
      <c r="AQN14" s="42"/>
      <c r="AQO14" s="42"/>
      <c r="AQP14" s="42"/>
      <c r="AQQ14" s="42"/>
      <c r="AQR14" s="42"/>
      <c r="AQS14" s="42"/>
      <c r="AQT14" s="42"/>
      <c r="AQU14" s="42"/>
      <c r="AQV14" s="42"/>
      <c r="AQW14" s="42"/>
      <c r="AQX14" s="42"/>
      <c r="AQY14" s="42"/>
      <c r="AQZ14" s="42"/>
      <c r="ARA14" s="42"/>
      <c r="ARB14" s="42"/>
      <c r="ARC14" s="42"/>
      <c r="ARD14" s="42"/>
      <c r="ARE14" s="42"/>
      <c r="ARF14" s="42"/>
      <c r="ARG14" s="42"/>
      <c r="ARH14" s="42"/>
      <c r="ARI14" s="42"/>
      <c r="ARJ14" s="42"/>
      <c r="ARK14" s="42"/>
      <c r="ARL14" s="42"/>
      <c r="ARM14" s="42"/>
      <c r="ARN14" s="42"/>
      <c r="ARO14" s="42"/>
      <c r="ARP14" s="42"/>
      <c r="ARQ14" s="42"/>
      <c r="ARR14" s="42"/>
      <c r="ARS14" s="42"/>
      <c r="ART14" s="42"/>
      <c r="ARU14" s="42"/>
      <c r="ARV14" s="42"/>
      <c r="ARW14" s="42"/>
      <c r="ARX14" s="42"/>
      <c r="ARY14" s="42"/>
      <c r="ARZ14" s="42"/>
      <c r="ASA14" s="42"/>
      <c r="ASB14" s="42"/>
      <c r="ASC14" s="42"/>
      <c r="ASD14" s="42"/>
      <c r="ASE14" s="42"/>
      <c r="ASF14" s="42"/>
      <c r="ASG14" s="42"/>
      <c r="ASH14" s="42"/>
      <c r="ASI14" s="42"/>
      <c r="ASJ14" s="42"/>
      <c r="ASK14" s="42"/>
      <c r="ASL14" s="42"/>
      <c r="ASM14" s="42"/>
      <c r="ASN14" s="42"/>
      <c r="ASO14" s="42"/>
      <c r="ASP14" s="42"/>
      <c r="ASQ14" s="42"/>
      <c r="ASR14" s="42"/>
      <c r="ASS14" s="42"/>
      <c r="AST14" s="42"/>
      <c r="ASU14" s="42"/>
      <c r="ASV14" s="42"/>
      <c r="ASW14" s="42"/>
      <c r="ASX14" s="42"/>
      <c r="ASY14" s="42"/>
      <c r="ASZ14" s="42"/>
      <c r="ATA14" s="42"/>
      <c r="ATB14" s="42"/>
      <c r="ATC14" s="42"/>
      <c r="ATD14" s="42"/>
      <c r="ATE14" s="42"/>
      <c r="ATF14" s="42"/>
      <c r="ATG14" s="42"/>
      <c r="ATH14" s="42"/>
      <c r="ATI14" s="42"/>
      <c r="ATJ14" s="42"/>
      <c r="ATK14" s="42"/>
      <c r="ATL14" s="42"/>
      <c r="ATM14" s="42"/>
      <c r="ATN14" s="42"/>
      <c r="ATO14" s="42"/>
      <c r="ATP14" s="42"/>
      <c r="ATQ14" s="42"/>
      <c r="ATR14" s="42"/>
      <c r="ATS14" s="42"/>
      <c r="ATT14" s="42"/>
      <c r="ATU14" s="42"/>
      <c r="ATV14" s="42"/>
      <c r="ATW14" s="42"/>
      <c r="ATX14" s="42"/>
      <c r="ATY14" s="42"/>
      <c r="ATZ14" s="42"/>
      <c r="AUA14" s="42"/>
      <c r="AUB14" s="42"/>
      <c r="AUC14" s="42"/>
      <c r="AUD14" s="42"/>
      <c r="AUE14" s="42"/>
      <c r="AUF14" s="42"/>
      <c r="AUG14" s="42"/>
      <c r="AUH14" s="42"/>
      <c r="AUI14" s="42"/>
      <c r="AUJ14" s="42"/>
      <c r="AUK14" s="42"/>
      <c r="AUL14" s="42"/>
      <c r="AUM14" s="42"/>
      <c r="AUN14" s="42"/>
      <c r="AUO14" s="42"/>
      <c r="AUP14" s="42"/>
      <c r="AUQ14" s="42"/>
      <c r="AUR14" s="42"/>
      <c r="AUS14" s="42"/>
      <c r="AUT14" s="42"/>
      <c r="AUU14" s="42"/>
      <c r="AUV14" s="42"/>
      <c r="AUW14" s="42"/>
      <c r="AUX14" s="42"/>
      <c r="AUY14" s="42"/>
      <c r="AUZ14" s="42"/>
      <c r="AVA14" s="42"/>
      <c r="AVB14" s="42"/>
      <c r="AVC14" s="42"/>
      <c r="AVD14" s="42"/>
      <c r="AVE14" s="42"/>
      <c r="AVF14" s="42"/>
      <c r="AVG14" s="42"/>
      <c r="AVH14" s="42"/>
      <c r="AVI14" s="42"/>
      <c r="AVJ14" s="42"/>
      <c r="AVK14" s="42"/>
      <c r="AVL14" s="42"/>
      <c r="AVM14" s="42"/>
      <c r="AVN14" s="42"/>
      <c r="AVO14" s="42"/>
      <c r="AVP14" s="42"/>
      <c r="AVQ14" s="42"/>
      <c r="AVR14" s="42"/>
      <c r="AVS14" s="42"/>
      <c r="AVT14" s="42"/>
      <c r="AVU14" s="42"/>
      <c r="AVV14" s="42"/>
      <c r="AVW14" s="42"/>
      <c r="AVX14" s="42"/>
      <c r="AVY14" s="42"/>
      <c r="AVZ14" s="42"/>
      <c r="AWA14" s="42"/>
      <c r="AWB14" s="42"/>
      <c r="AWC14" s="42"/>
      <c r="AWD14" s="42"/>
      <c r="AWE14" s="42"/>
      <c r="AWF14" s="42"/>
      <c r="AWG14" s="42"/>
      <c r="AWH14" s="42"/>
      <c r="AWI14" s="42"/>
      <c r="AWJ14" s="42"/>
      <c r="AWK14" s="42"/>
      <c r="AWL14" s="42"/>
      <c r="AWM14" s="42"/>
      <c r="AWN14" s="42"/>
      <c r="AWO14" s="42"/>
      <c r="AWP14" s="42"/>
      <c r="AWQ14" s="42"/>
      <c r="AWR14" s="42"/>
      <c r="AWS14" s="42"/>
      <c r="AWT14" s="42"/>
      <c r="AWU14" s="42"/>
      <c r="AWV14" s="42"/>
      <c r="AWW14" s="42"/>
      <c r="AWX14" s="42"/>
      <c r="AWY14" s="42"/>
      <c r="AWZ14" s="42"/>
      <c r="AXA14" s="42"/>
      <c r="AXB14" s="42"/>
      <c r="AXC14" s="42"/>
      <c r="AXD14" s="42"/>
      <c r="AXE14" s="42"/>
      <c r="AXF14" s="42"/>
      <c r="AXG14" s="42"/>
      <c r="AXH14" s="42"/>
      <c r="AXI14" s="42"/>
      <c r="AXJ14" s="42"/>
      <c r="AXK14" s="42"/>
      <c r="AXL14" s="42"/>
      <c r="AXM14" s="42"/>
      <c r="AXN14" s="42"/>
      <c r="AXO14" s="42"/>
      <c r="AXP14" s="42"/>
      <c r="AXQ14" s="42"/>
      <c r="AXR14" s="42"/>
      <c r="AXS14" s="42"/>
      <c r="AXT14" s="42"/>
      <c r="AXU14" s="42"/>
      <c r="AXV14" s="42"/>
      <c r="AXW14" s="42"/>
      <c r="AXX14" s="42"/>
      <c r="AXY14" s="42"/>
      <c r="AXZ14" s="42"/>
      <c r="AYA14" s="42"/>
      <c r="AYB14" s="42"/>
      <c r="AYC14" s="42"/>
      <c r="AYD14" s="42"/>
      <c r="AYE14" s="42"/>
      <c r="AYF14" s="42"/>
      <c r="AYG14" s="42"/>
      <c r="AYH14" s="42"/>
      <c r="AYI14" s="42"/>
      <c r="AYJ14" s="42"/>
      <c r="AYK14" s="42"/>
      <c r="AYL14" s="42"/>
      <c r="AYM14" s="42"/>
      <c r="AYN14" s="42"/>
      <c r="AYO14" s="42"/>
      <c r="AYP14" s="42"/>
      <c r="AYQ14" s="42"/>
      <c r="AYR14" s="42"/>
      <c r="AYS14" s="42"/>
      <c r="AYT14" s="42"/>
      <c r="AYU14" s="42"/>
      <c r="AYV14" s="42"/>
      <c r="AYW14" s="42"/>
      <c r="AYX14" s="42"/>
      <c r="AYY14" s="42"/>
      <c r="AYZ14" s="42"/>
      <c r="AZA14" s="42"/>
      <c r="AZB14" s="42"/>
      <c r="AZC14" s="42"/>
      <c r="AZD14" s="42"/>
      <c r="AZE14" s="42"/>
      <c r="AZF14" s="42"/>
      <c r="AZG14" s="42"/>
      <c r="AZH14" s="42"/>
      <c r="AZI14" s="42"/>
      <c r="AZJ14" s="42"/>
      <c r="AZK14" s="42"/>
      <c r="AZL14" s="42"/>
      <c r="AZM14" s="42"/>
      <c r="AZN14" s="42"/>
      <c r="AZO14" s="42"/>
      <c r="AZP14" s="42"/>
      <c r="AZQ14" s="42"/>
      <c r="AZR14" s="42"/>
      <c r="AZS14" s="42"/>
      <c r="AZT14" s="42"/>
      <c r="AZU14" s="42"/>
      <c r="AZV14" s="42"/>
      <c r="AZW14" s="42"/>
      <c r="AZX14" s="42"/>
      <c r="AZY14" s="42"/>
      <c r="AZZ14" s="42"/>
      <c r="BAA14" s="42"/>
      <c r="BAB14" s="42"/>
      <c r="BAC14" s="42"/>
      <c r="BAD14" s="42"/>
      <c r="BAE14" s="42"/>
      <c r="BAF14" s="42"/>
      <c r="BAG14" s="42"/>
      <c r="BAH14" s="42"/>
      <c r="BAI14" s="42"/>
      <c r="BAJ14" s="42"/>
      <c r="BAK14" s="42"/>
      <c r="BAL14" s="42"/>
      <c r="BAM14" s="42"/>
      <c r="BAN14" s="42"/>
      <c r="BAO14" s="42"/>
      <c r="BAP14" s="42"/>
      <c r="BAQ14" s="42"/>
      <c r="BAR14" s="42"/>
      <c r="BAS14" s="42"/>
      <c r="BAT14" s="42"/>
      <c r="BAU14" s="42"/>
      <c r="BAV14" s="42"/>
      <c r="BAW14" s="42"/>
      <c r="BAX14" s="42"/>
      <c r="BAY14" s="42"/>
      <c r="BAZ14" s="42"/>
      <c r="BBA14" s="42"/>
      <c r="BBB14" s="42"/>
      <c r="BBC14" s="42"/>
      <c r="BBD14" s="42"/>
      <c r="BBE14" s="42"/>
      <c r="BBF14" s="42"/>
      <c r="BBG14" s="42"/>
      <c r="BBH14" s="42"/>
      <c r="BBI14" s="42"/>
      <c r="BBJ14" s="42"/>
      <c r="BBK14" s="42"/>
      <c r="BBL14" s="42"/>
      <c r="BBM14" s="42"/>
      <c r="BBN14" s="42"/>
      <c r="BBO14" s="42"/>
      <c r="BBP14" s="42"/>
      <c r="BBQ14" s="42"/>
      <c r="BBR14" s="42"/>
      <c r="BBS14" s="42"/>
      <c r="BBT14" s="42"/>
      <c r="BBU14" s="42"/>
      <c r="BBV14" s="42"/>
      <c r="BBW14" s="42"/>
      <c r="BBX14" s="42"/>
      <c r="BBY14" s="42"/>
      <c r="BBZ14" s="42"/>
      <c r="BCA14" s="42"/>
      <c r="BCB14" s="42"/>
      <c r="BCC14" s="42"/>
      <c r="BCD14" s="42"/>
      <c r="BCE14" s="42"/>
      <c r="BCF14" s="42"/>
      <c r="BCG14" s="42"/>
      <c r="BCH14" s="42"/>
      <c r="BCI14" s="42"/>
      <c r="BCJ14" s="42"/>
      <c r="BCK14" s="42"/>
      <c r="BCL14" s="42"/>
      <c r="BCM14" s="42"/>
      <c r="BCN14" s="42"/>
      <c r="BCO14" s="42"/>
      <c r="BCP14" s="42"/>
      <c r="BCQ14" s="42"/>
      <c r="BCR14" s="42"/>
      <c r="BCS14" s="42"/>
      <c r="BCT14" s="42"/>
      <c r="BCU14" s="42"/>
      <c r="BCV14" s="42"/>
      <c r="BCW14" s="42"/>
      <c r="BCX14" s="42"/>
      <c r="BCY14" s="42"/>
      <c r="BCZ14" s="42"/>
      <c r="BDA14" s="42"/>
      <c r="BDB14" s="42"/>
      <c r="BDC14" s="42"/>
      <c r="BDD14" s="42"/>
      <c r="BDE14" s="42"/>
      <c r="BDF14" s="42"/>
      <c r="BDG14" s="42"/>
      <c r="BDH14" s="42"/>
      <c r="BDI14" s="42"/>
      <c r="BDJ14" s="42"/>
      <c r="BDK14" s="42"/>
      <c r="BDL14" s="42"/>
      <c r="BDM14" s="42"/>
      <c r="BDN14" s="42"/>
      <c r="BDO14" s="42"/>
      <c r="BDP14" s="42"/>
      <c r="BDQ14" s="42"/>
      <c r="BDR14" s="42"/>
      <c r="BDS14" s="42"/>
      <c r="BDT14" s="42"/>
      <c r="BDU14" s="42"/>
      <c r="BDV14" s="42"/>
      <c r="BDW14" s="42"/>
      <c r="BDX14" s="42"/>
      <c r="BDY14" s="42"/>
      <c r="BDZ14" s="42"/>
      <c r="BEA14" s="42"/>
      <c r="BEB14" s="42"/>
      <c r="BEC14" s="42"/>
      <c r="BED14" s="42"/>
      <c r="BEE14" s="42"/>
      <c r="BEF14" s="42"/>
      <c r="BEG14" s="42"/>
      <c r="BEH14" s="42"/>
      <c r="BEI14" s="42"/>
      <c r="BEJ14" s="42"/>
      <c r="BEK14" s="42"/>
      <c r="BEL14" s="42"/>
      <c r="BEM14" s="42"/>
      <c r="BEN14" s="42"/>
      <c r="BEO14" s="42"/>
      <c r="BEP14" s="42"/>
      <c r="BEQ14" s="42"/>
      <c r="BER14" s="42"/>
      <c r="BES14" s="42"/>
      <c r="BET14" s="42"/>
      <c r="BEU14" s="42"/>
      <c r="BEV14" s="42"/>
      <c r="BEW14" s="42"/>
      <c r="BEX14" s="42"/>
      <c r="BEY14" s="42"/>
      <c r="BEZ14" s="42"/>
      <c r="BFA14" s="42"/>
      <c r="BFB14" s="42"/>
      <c r="BFC14" s="42"/>
      <c r="BFD14" s="42"/>
      <c r="BFE14" s="42"/>
      <c r="BFF14" s="42"/>
      <c r="BFG14" s="42"/>
      <c r="BFH14" s="42"/>
      <c r="BFI14" s="42"/>
      <c r="BFJ14" s="42"/>
      <c r="BFK14" s="42"/>
      <c r="BFL14" s="42"/>
      <c r="BFM14" s="42"/>
      <c r="BFN14" s="42"/>
      <c r="BFO14" s="42"/>
      <c r="BFP14" s="42"/>
      <c r="BFQ14" s="42"/>
      <c r="BFR14" s="42"/>
      <c r="BFS14" s="42"/>
      <c r="BFT14" s="42"/>
      <c r="BFU14" s="42"/>
      <c r="BFV14" s="42"/>
      <c r="BFW14" s="42"/>
      <c r="BFX14" s="42"/>
      <c r="BFY14" s="42"/>
      <c r="BFZ14" s="42"/>
      <c r="BGA14" s="42"/>
      <c r="BGB14" s="42"/>
      <c r="BGC14" s="42"/>
      <c r="BGD14" s="42"/>
      <c r="BGE14" s="42"/>
      <c r="BGF14" s="42"/>
      <c r="BGG14" s="42"/>
      <c r="BGH14" s="42"/>
      <c r="BGI14" s="42"/>
      <c r="BGJ14" s="42"/>
      <c r="BGK14" s="42"/>
      <c r="BGL14" s="42"/>
      <c r="BGM14" s="42"/>
      <c r="BGN14" s="42"/>
      <c r="BGO14" s="42"/>
      <c r="BGP14" s="42"/>
      <c r="BGQ14" s="42"/>
      <c r="BGR14" s="42"/>
      <c r="BGS14" s="42"/>
      <c r="BGT14" s="42"/>
      <c r="BGU14" s="42"/>
      <c r="BGV14" s="42"/>
      <c r="BGW14" s="42"/>
      <c r="BGX14" s="42"/>
      <c r="BGY14" s="42"/>
      <c r="BGZ14" s="42"/>
      <c r="BHA14" s="42"/>
      <c r="BHB14" s="42"/>
      <c r="BHC14" s="42"/>
      <c r="BHD14" s="42"/>
      <c r="BHE14" s="42"/>
      <c r="BHF14" s="42"/>
      <c r="BHG14" s="42"/>
      <c r="BHH14" s="42"/>
      <c r="BHI14" s="42"/>
      <c r="BHJ14" s="42"/>
      <c r="BHK14" s="42"/>
      <c r="BHL14" s="42"/>
      <c r="BHM14" s="42"/>
      <c r="BHN14" s="42"/>
      <c r="BHO14" s="42"/>
      <c r="BHP14" s="42"/>
      <c r="BHQ14" s="42"/>
      <c r="BHR14" s="42"/>
      <c r="BHS14" s="42"/>
      <c r="BHT14" s="42"/>
      <c r="BHU14" s="42"/>
      <c r="BHV14" s="42"/>
      <c r="BHW14" s="42"/>
      <c r="BHX14" s="42"/>
      <c r="BHY14" s="42"/>
      <c r="BHZ14" s="42"/>
      <c r="BIA14" s="42"/>
      <c r="BIB14" s="42"/>
      <c r="BIC14" s="42"/>
      <c r="BID14" s="42"/>
      <c r="BIE14" s="42"/>
      <c r="BIF14" s="42"/>
      <c r="BIG14" s="42"/>
      <c r="BIH14" s="42"/>
      <c r="BII14" s="42"/>
      <c r="BIJ14" s="42"/>
      <c r="BIK14" s="42"/>
      <c r="BIL14" s="42"/>
      <c r="BIM14" s="42"/>
      <c r="BIN14" s="42"/>
      <c r="BIO14" s="42"/>
      <c r="BIP14" s="42"/>
      <c r="BIQ14" s="42"/>
      <c r="BIR14" s="42"/>
      <c r="BIS14" s="42"/>
      <c r="BIT14" s="42"/>
      <c r="BIU14" s="42"/>
      <c r="BIV14" s="42"/>
      <c r="BIW14" s="42"/>
      <c r="BIX14" s="42"/>
      <c r="BIY14" s="42"/>
      <c r="BIZ14" s="42"/>
      <c r="BJA14" s="42"/>
      <c r="BJB14" s="42"/>
      <c r="BJC14" s="42"/>
      <c r="BJD14" s="42"/>
      <c r="BJE14" s="42"/>
      <c r="BJF14" s="42"/>
      <c r="BJG14" s="42"/>
      <c r="BJH14" s="42"/>
      <c r="BJI14" s="42"/>
      <c r="BJJ14" s="42"/>
      <c r="BJK14" s="42"/>
      <c r="BJL14" s="42"/>
      <c r="BJM14" s="42"/>
      <c r="BJN14" s="42"/>
      <c r="BJO14" s="42"/>
      <c r="BJP14" s="42"/>
      <c r="BJQ14" s="42"/>
      <c r="BJR14" s="42"/>
      <c r="BJS14" s="42"/>
      <c r="BJT14" s="42"/>
      <c r="BJU14" s="42"/>
      <c r="BJV14" s="42"/>
      <c r="BJW14" s="42"/>
      <c r="BJX14" s="42"/>
      <c r="BJY14" s="42"/>
      <c r="BJZ14" s="42"/>
      <c r="BKA14" s="42"/>
      <c r="BKB14" s="42"/>
      <c r="BKC14" s="42"/>
      <c r="BKD14" s="42"/>
      <c r="BKE14" s="42"/>
      <c r="BKF14" s="42"/>
      <c r="BKG14" s="42"/>
      <c r="BKH14" s="42"/>
      <c r="BKI14" s="42"/>
      <c r="BKJ14" s="42"/>
      <c r="BKK14" s="42"/>
      <c r="BKL14" s="42"/>
      <c r="BKM14" s="42"/>
      <c r="BKN14" s="42"/>
      <c r="BKO14" s="42"/>
      <c r="BKP14" s="42"/>
      <c r="BKQ14" s="42"/>
      <c r="BKR14" s="42"/>
      <c r="BKS14" s="42"/>
      <c r="BKT14" s="42"/>
      <c r="BKU14" s="42"/>
      <c r="BKV14" s="42"/>
      <c r="BKW14" s="42"/>
      <c r="BKX14" s="42"/>
      <c r="BKY14" s="42"/>
      <c r="BKZ14" s="42"/>
      <c r="BLA14" s="42"/>
      <c r="BLB14" s="42"/>
      <c r="BLC14" s="42"/>
      <c r="BLD14" s="42"/>
      <c r="BLE14" s="42"/>
      <c r="BLF14" s="42"/>
      <c r="BLG14" s="42"/>
      <c r="BLH14" s="42"/>
      <c r="BLI14" s="42"/>
      <c r="BLJ14" s="42"/>
      <c r="BLK14" s="42"/>
      <c r="BLL14" s="42"/>
      <c r="BLM14" s="42"/>
      <c r="BLN14" s="42"/>
      <c r="BLO14" s="42"/>
      <c r="BLP14" s="42"/>
      <c r="BLQ14" s="42"/>
      <c r="BLR14" s="42"/>
      <c r="BLS14" s="42"/>
      <c r="BLT14" s="42"/>
      <c r="BLU14" s="42"/>
      <c r="BLV14" s="42"/>
      <c r="BLW14" s="42"/>
      <c r="BLX14" s="42"/>
      <c r="BLY14" s="42"/>
      <c r="BLZ14" s="42"/>
      <c r="BMA14" s="42"/>
      <c r="BMB14" s="42"/>
      <c r="BMC14" s="42"/>
      <c r="BMD14" s="42"/>
      <c r="BME14" s="42"/>
      <c r="BMF14" s="42"/>
      <c r="BMG14" s="42"/>
      <c r="BMH14" s="42"/>
      <c r="BMI14" s="42"/>
      <c r="BMJ14" s="42"/>
      <c r="BMK14" s="42"/>
      <c r="BML14" s="42"/>
      <c r="BMM14" s="42"/>
      <c r="BMN14" s="42"/>
      <c r="BMO14" s="42"/>
      <c r="BMP14" s="42"/>
      <c r="BMQ14" s="42"/>
      <c r="BMR14" s="42"/>
      <c r="BMS14" s="42"/>
      <c r="BMT14" s="42"/>
      <c r="BMU14" s="42"/>
      <c r="BMV14" s="42"/>
      <c r="BMW14" s="42"/>
      <c r="BMX14" s="42"/>
      <c r="BMY14" s="42"/>
      <c r="BMZ14" s="42"/>
      <c r="BNA14" s="42"/>
      <c r="BNB14" s="42"/>
      <c r="BNC14" s="42"/>
      <c r="BND14" s="42"/>
      <c r="BNE14" s="42"/>
      <c r="BNF14" s="42"/>
      <c r="BNG14" s="42"/>
      <c r="BNH14" s="42"/>
      <c r="BNI14" s="42"/>
      <c r="BNJ14" s="42"/>
      <c r="BNK14" s="42"/>
      <c r="BNL14" s="42"/>
      <c r="BNM14" s="42"/>
      <c r="BNN14" s="42"/>
      <c r="BNO14" s="42"/>
      <c r="BNP14" s="42"/>
      <c r="BNQ14" s="42"/>
      <c r="BNR14" s="42"/>
      <c r="BNS14" s="42"/>
      <c r="BNT14" s="42"/>
      <c r="BNU14" s="42"/>
      <c r="BNV14" s="42"/>
      <c r="BNW14" s="42"/>
      <c r="BNX14" s="42"/>
      <c r="BNY14" s="42"/>
      <c r="BNZ14" s="42"/>
      <c r="BOA14" s="42"/>
      <c r="BOB14" s="42"/>
      <c r="BOC14" s="42"/>
      <c r="BOD14" s="42"/>
      <c r="BOE14" s="42"/>
      <c r="BOF14" s="42"/>
      <c r="BOG14" s="42"/>
      <c r="BOH14" s="42"/>
      <c r="BOI14" s="42"/>
      <c r="BOJ14" s="42"/>
      <c r="BOK14" s="42"/>
      <c r="BOL14" s="42"/>
      <c r="BOM14" s="42"/>
      <c r="BON14" s="42"/>
      <c r="BOO14" s="42"/>
      <c r="BOP14" s="42"/>
      <c r="BOQ14" s="42"/>
      <c r="BOR14" s="42"/>
      <c r="BOS14" s="42"/>
      <c r="BOT14" s="42"/>
      <c r="BOU14" s="42"/>
      <c r="BOV14" s="42"/>
      <c r="BOW14" s="42"/>
      <c r="BOX14" s="42"/>
      <c r="BOY14" s="42"/>
      <c r="BOZ14" s="42"/>
      <c r="BPA14" s="42"/>
      <c r="BPB14" s="42"/>
      <c r="BPC14" s="42"/>
      <c r="BPD14" s="42"/>
      <c r="BPE14" s="42"/>
      <c r="BPF14" s="42"/>
      <c r="BPG14" s="42"/>
      <c r="BPH14" s="42"/>
      <c r="BPI14" s="42"/>
      <c r="BPJ14" s="42"/>
      <c r="BPK14" s="42"/>
      <c r="BPL14" s="42"/>
      <c r="BPM14" s="42"/>
      <c r="BPN14" s="42"/>
      <c r="BPO14" s="42"/>
      <c r="BPP14" s="42"/>
      <c r="BPQ14" s="42"/>
      <c r="BPR14" s="42"/>
      <c r="BPS14" s="42"/>
      <c r="BPT14" s="42"/>
      <c r="BPU14" s="42"/>
      <c r="BPV14" s="42"/>
      <c r="BPW14" s="42"/>
      <c r="BPX14" s="42"/>
      <c r="BPY14" s="42"/>
      <c r="BPZ14" s="42"/>
      <c r="BQA14" s="42"/>
      <c r="BQB14" s="42"/>
      <c r="BQC14" s="42"/>
      <c r="BQD14" s="42"/>
      <c r="BQE14" s="42"/>
      <c r="BQF14" s="42"/>
      <c r="BQG14" s="42"/>
      <c r="BQH14" s="42"/>
      <c r="BQI14" s="42"/>
      <c r="BQJ14" s="42"/>
      <c r="BQK14" s="42"/>
      <c r="BQL14" s="42"/>
      <c r="BQM14" s="42"/>
      <c r="BQN14" s="42"/>
      <c r="BQO14" s="42"/>
      <c r="BQP14" s="42"/>
      <c r="BQQ14" s="42"/>
      <c r="BQR14" s="42"/>
      <c r="BQS14" s="42"/>
      <c r="BQT14" s="42"/>
      <c r="BQU14" s="42"/>
      <c r="BQV14" s="42"/>
      <c r="BQW14" s="42"/>
      <c r="BQX14" s="42"/>
      <c r="BQY14" s="42"/>
      <c r="BQZ14" s="42"/>
      <c r="BRA14" s="42"/>
      <c r="BRB14" s="42"/>
      <c r="BRC14" s="42"/>
      <c r="BRD14" s="42"/>
      <c r="BRE14" s="42"/>
      <c r="BRF14" s="42"/>
      <c r="BRG14" s="42"/>
      <c r="BRH14" s="42"/>
      <c r="BRI14" s="42"/>
      <c r="BRJ14" s="42"/>
      <c r="BRK14" s="42"/>
      <c r="BRL14" s="42"/>
      <c r="BRM14" s="42"/>
      <c r="BRN14" s="42"/>
      <c r="BRO14" s="42"/>
      <c r="BRP14" s="42"/>
      <c r="BRQ14" s="42"/>
      <c r="BRR14" s="42"/>
      <c r="BRS14" s="42"/>
      <c r="BRT14" s="42"/>
      <c r="BRU14" s="42"/>
      <c r="BRV14" s="42"/>
      <c r="BRW14" s="42"/>
      <c r="BRX14" s="42"/>
      <c r="BRY14" s="42"/>
      <c r="BRZ14" s="42"/>
      <c r="BSA14" s="42"/>
      <c r="BSB14" s="42"/>
      <c r="BSC14" s="42"/>
      <c r="BSD14" s="42"/>
    </row>
    <row r="15" spans="1:1850" s="43" customFormat="1" ht="15" hidden="1" customHeight="1" outlineLevel="1">
      <c r="A15" s="32" t="s">
        <v>7</v>
      </c>
      <c r="B15" s="33"/>
      <c r="C15" s="34">
        <f>D14+1</f>
        <v>41535</v>
      </c>
      <c r="D15" s="35">
        <f>C15+16</f>
        <v>41551</v>
      </c>
      <c r="E15" s="36" t="str">
        <f>(ROUNDUP(D15-C15,0)+1) &amp; " days"</f>
        <v>17 days</v>
      </c>
      <c r="F15" s="37"/>
      <c r="G15" s="38"/>
      <c r="H15" s="38"/>
      <c r="I15" s="38"/>
      <c r="J15" s="38"/>
      <c r="K15" s="38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41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  <c r="FI15" s="42"/>
      <c r="FJ15" s="42"/>
      <c r="FK15" s="42"/>
      <c r="FL15" s="42"/>
      <c r="FM15" s="42"/>
      <c r="FN15" s="42"/>
      <c r="FO15" s="42"/>
      <c r="FP15" s="42"/>
      <c r="FQ15" s="42"/>
      <c r="FR15" s="42"/>
      <c r="FS15" s="42"/>
      <c r="FT15" s="42"/>
      <c r="FU15" s="42"/>
      <c r="FV15" s="42"/>
      <c r="FW15" s="42"/>
      <c r="FX15" s="42"/>
      <c r="FY15" s="42"/>
      <c r="FZ15" s="42"/>
      <c r="GA15" s="42"/>
      <c r="GB15" s="42"/>
      <c r="GC15" s="42"/>
      <c r="GD15" s="42"/>
      <c r="GE15" s="42"/>
      <c r="GF15" s="42"/>
      <c r="GG15" s="42"/>
      <c r="GH15" s="42"/>
      <c r="GI15" s="42"/>
      <c r="GJ15" s="42"/>
      <c r="GK15" s="42"/>
      <c r="GL15" s="42"/>
      <c r="GM15" s="42"/>
      <c r="GN15" s="42"/>
      <c r="GO15" s="42"/>
      <c r="GP15" s="42"/>
      <c r="GQ15" s="42"/>
      <c r="GR15" s="42"/>
      <c r="GS15" s="42"/>
      <c r="GT15" s="42"/>
      <c r="GU15" s="42"/>
      <c r="GV15" s="42"/>
      <c r="GW15" s="42"/>
      <c r="GX15" s="42"/>
      <c r="GY15" s="42"/>
      <c r="GZ15" s="42"/>
      <c r="HA15" s="42"/>
      <c r="HB15" s="42"/>
      <c r="HC15" s="42"/>
      <c r="HD15" s="42"/>
      <c r="HE15" s="42"/>
      <c r="HF15" s="42"/>
      <c r="HG15" s="42"/>
      <c r="HH15" s="42"/>
      <c r="HI15" s="42"/>
      <c r="HJ15" s="42"/>
      <c r="HK15" s="42"/>
      <c r="HL15" s="42"/>
      <c r="HM15" s="42"/>
      <c r="HN15" s="42"/>
      <c r="HO15" s="42"/>
      <c r="HP15" s="42"/>
      <c r="HQ15" s="42"/>
      <c r="HR15" s="42"/>
      <c r="HS15" s="42"/>
      <c r="HT15" s="42"/>
      <c r="HU15" s="42"/>
      <c r="HV15" s="42"/>
      <c r="HW15" s="42"/>
      <c r="HX15" s="42"/>
      <c r="HY15" s="42"/>
      <c r="HZ15" s="42"/>
      <c r="IA15" s="42"/>
      <c r="IB15" s="42"/>
      <c r="IC15" s="42"/>
      <c r="ID15" s="42"/>
      <c r="IE15" s="42"/>
      <c r="IF15" s="42"/>
      <c r="IG15" s="42"/>
      <c r="IH15" s="42"/>
      <c r="II15" s="42"/>
      <c r="IJ15" s="42"/>
      <c r="IK15" s="42"/>
      <c r="IL15" s="42"/>
      <c r="IM15" s="42"/>
      <c r="IN15" s="42"/>
      <c r="IO15" s="42"/>
      <c r="IP15" s="42"/>
      <c r="IQ15" s="42"/>
      <c r="IR15" s="42"/>
      <c r="IS15" s="42"/>
      <c r="IT15" s="42"/>
      <c r="IU15" s="42"/>
      <c r="IV15" s="42"/>
      <c r="IW15" s="42"/>
      <c r="IX15" s="42"/>
      <c r="IY15" s="42"/>
      <c r="IZ15" s="42"/>
      <c r="JA15" s="42"/>
      <c r="JB15" s="42"/>
      <c r="JC15" s="42"/>
      <c r="JD15" s="42"/>
      <c r="JE15" s="42"/>
      <c r="JF15" s="42"/>
      <c r="JG15" s="42"/>
      <c r="JH15" s="42"/>
      <c r="JI15" s="42"/>
      <c r="JJ15" s="42"/>
      <c r="JK15" s="42"/>
      <c r="JL15" s="42"/>
      <c r="JM15" s="42"/>
      <c r="JN15" s="42"/>
      <c r="JO15" s="42"/>
      <c r="JP15" s="42"/>
      <c r="JQ15" s="42"/>
      <c r="JR15" s="42"/>
      <c r="JS15" s="42"/>
      <c r="JT15" s="42"/>
      <c r="JU15" s="42"/>
      <c r="JV15" s="42"/>
      <c r="JW15" s="42"/>
      <c r="JX15" s="42"/>
      <c r="JY15" s="42"/>
      <c r="JZ15" s="42"/>
      <c r="KA15" s="42"/>
      <c r="KB15" s="42"/>
      <c r="KC15" s="42"/>
      <c r="KD15" s="42"/>
      <c r="KE15" s="42"/>
      <c r="KF15" s="42"/>
      <c r="KG15" s="42"/>
      <c r="KH15" s="42"/>
      <c r="KI15" s="42"/>
      <c r="KJ15" s="42"/>
      <c r="KK15" s="42"/>
      <c r="KL15" s="42"/>
      <c r="KM15" s="42"/>
      <c r="KN15" s="42"/>
      <c r="KO15" s="42"/>
      <c r="KP15" s="42"/>
      <c r="KQ15" s="42"/>
      <c r="KR15" s="42"/>
      <c r="KS15" s="42"/>
      <c r="KT15" s="42"/>
      <c r="KU15" s="42"/>
      <c r="KV15" s="42"/>
      <c r="KW15" s="42"/>
      <c r="KX15" s="42"/>
      <c r="KY15" s="42"/>
      <c r="KZ15" s="42"/>
      <c r="LA15" s="42"/>
      <c r="LB15" s="42"/>
      <c r="LC15" s="42"/>
      <c r="LD15" s="42"/>
      <c r="LE15" s="42"/>
      <c r="LF15" s="42"/>
      <c r="LG15" s="42"/>
      <c r="LH15" s="42"/>
      <c r="LI15" s="42"/>
      <c r="LJ15" s="42"/>
      <c r="LK15" s="42"/>
      <c r="LL15" s="42"/>
      <c r="LM15" s="42"/>
      <c r="LN15" s="42"/>
      <c r="LO15" s="42"/>
      <c r="LP15" s="42"/>
      <c r="LQ15" s="42"/>
      <c r="LR15" s="42"/>
      <c r="LS15" s="42"/>
      <c r="LT15" s="42"/>
      <c r="LU15" s="42"/>
      <c r="LV15" s="42"/>
      <c r="LW15" s="42"/>
      <c r="LX15" s="42"/>
      <c r="LY15" s="42"/>
      <c r="LZ15" s="42"/>
      <c r="MA15" s="42"/>
      <c r="MB15" s="42"/>
      <c r="MC15" s="42"/>
      <c r="MD15" s="42"/>
      <c r="ME15" s="42"/>
      <c r="MF15" s="42"/>
      <c r="MG15" s="42"/>
      <c r="MH15" s="42"/>
      <c r="MI15" s="42"/>
      <c r="MJ15" s="42"/>
      <c r="MK15" s="42"/>
      <c r="ML15" s="42"/>
      <c r="MM15" s="42"/>
      <c r="MN15" s="42"/>
      <c r="MO15" s="42"/>
      <c r="MP15" s="42"/>
      <c r="MQ15" s="42"/>
      <c r="MR15" s="42"/>
      <c r="MS15" s="42"/>
      <c r="MT15" s="42"/>
      <c r="MU15" s="42"/>
      <c r="MV15" s="42"/>
      <c r="MW15" s="42"/>
      <c r="MX15" s="42"/>
      <c r="MY15" s="42"/>
      <c r="MZ15" s="42"/>
      <c r="NA15" s="42"/>
      <c r="NB15" s="42"/>
      <c r="NC15" s="42"/>
      <c r="ND15" s="42"/>
      <c r="NE15" s="42"/>
      <c r="NF15" s="42"/>
      <c r="NG15" s="42"/>
      <c r="NH15" s="42"/>
      <c r="NI15" s="42"/>
      <c r="NJ15" s="42"/>
      <c r="NK15" s="42"/>
      <c r="NL15" s="42"/>
      <c r="NM15" s="42"/>
      <c r="NN15" s="42"/>
      <c r="NO15" s="42"/>
      <c r="NP15" s="42"/>
      <c r="NQ15" s="42"/>
      <c r="NR15" s="42"/>
      <c r="NS15" s="42"/>
      <c r="NT15" s="42"/>
      <c r="NU15" s="42"/>
      <c r="NV15" s="42"/>
      <c r="NW15" s="42"/>
      <c r="NX15" s="42"/>
      <c r="NY15" s="42"/>
      <c r="NZ15" s="42"/>
      <c r="OA15" s="42"/>
      <c r="OB15" s="42"/>
      <c r="OC15" s="42"/>
      <c r="OD15" s="42"/>
      <c r="OE15" s="42"/>
      <c r="OF15" s="42"/>
      <c r="OG15" s="42"/>
      <c r="OH15" s="42"/>
      <c r="OI15" s="42"/>
      <c r="OJ15" s="42"/>
      <c r="OK15" s="42"/>
      <c r="OL15" s="42"/>
      <c r="OM15" s="42"/>
      <c r="ON15" s="42"/>
      <c r="OO15" s="42"/>
      <c r="OP15" s="42"/>
      <c r="OQ15" s="42"/>
      <c r="OR15" s="42"/>
      <c r="OS15" s="42"/>
      <c r="OT15" s="42"/>
      <c r="OU15" s="42"/>
      <c r="OV15" s="42"/>
      <c r="OW15" s="42"/>
      <c r="OX15" s="42"/>
      <c r="OY15" s="42"/>
      <c r="OZ15" s="42"/>
      <c r="PA15" s="42"/>
      <c r="PB15" s="42"/>
      <c r="PC15" s="42"/>
      <c r="PD15" s="42"/>
      <c r="PE15" s="42"/>
      <c r="PF15" s="42"/>
      <c r="PG15" s="42"/>
      <c r="PH15" s="42"/>
      <c r="PI15" s="42"/>
      <c r="PJ15" s="42"/>
      <c r="PK15" s="42"/>
      <c r="PL15" s="42"/>
      <c r="PM15" s="42"/>
      <c r="PN15" s="42"/>
      <c r="PO15" s="42"/>
      <c r="PP15" s="42"/>
      <c r="PQ15" s="42"/>
      <c r="PR15" s="42"/>
      <c r="PS15" s="42"/>
      <c r="PT15" s="42"/>
      <c r="PU15" s="42"/>
      <c r="PV15" s="42"/>
      <c r="PW15" s="42"/>
      <c r="PX15" s="42"/>
      <c r="PY15" s="42"/>
      <c r="PZ15" s="42"/>
      <c r="QA15" s="42"/>
      <c r="QB15" s="42"/>
      <c r="QC15" s="42"/>
      <c r="QD15" s="42"/>
      <c r="QE15" s="42"/>
      <c r="QF15" s="42"/>
      <c r="QG15" s="42"/>
      <c r="QH15" s="42"/>
      <c r="QI15" s="42"/>
      <c r="QJ15" s="42"/>
      <c r="QK15" s="42"/>
      <c r="QL15" s="42"/>
      <c r="QM15" s="42"/>
      <c r="QN15" s="42"/>
      <c r="QO15" s="42"/>
      <c r="QP15" s="42"/>
      <c r="QQ15" s="42"/>
      <c r="QR15" s="42"/>
      <c r="QS15" s="42"/>
      <c r="QT15" s="42"/>
      <c r="QU15" s="42"/>
      <c r="QV15" s="42"/>
      <c r="QW15" s="42"/>
      <c r="QX15" s="42"/>
      <c r="QY15" s="42"/>
      <c r="QZ15" s="42"/>
      <c r="RA15" s="42"/>
      <c r="RB15" s="42"/>
      <c r="RC15" s="42"/>
      <c r="RD15" s="42"/>
      <c r="RE15" s="42"/>
      <c r="RF15" s="42"/>
      <c r="RG15" s="42"/>
      <c r="RH15" s="42"/>
      <c r="RI15" s="42"/>
      <c r="RJ15" s="42"/>
      <c r="RK15" s="42"/>
      <c r="RL15" s="42"/>
      <c r="RM15" s="42"/>
      <c r="RN15" s="42"/>
      <c r="RO15" s="42"/>
      <c r="RP15" s="42"/>
      <c r="RQ15" s="42"/>
      <c r="RR15" s="42"/>
      <c r="RS15" s="42"/>
      <c r="RT15" s="42"/>
      <c r="RU15" s="42"/>
      <c r="RV15" s="42"/>
      <c r="RW15" s="42"/>
      <c r="RX15" s="42"/>
      <c r="RY15" s="42"/>
      <c r="RZ15" s="42"/>
      <c r="SA15" s="42"/>
      <c r="SB15" s="42"/>
      <c r="SC15" s="42"/>
      <c r="SD15" s="42"/>
      <c r="SE15" s="42"/>
      <c r="SF15" s="42"/>
      <c r="SG15" s="42"/>
      <c r="SH15" s="42"/>
      <c r="SI15" s="42"/>
      <c r="SJ15" s="42"/>
      <c r="SK15" s="42"/>
      <c r="SL15" s="42"/>
      <c r="SM15" s="42"/>
      <c r="SN15" s="42"/>
      <c r="SO15" s="42"/>
      <c r="SP15" s="42"/>
      <c r="SQ15" s="42"/>
      <c r="SR15" s="42"/>
      <c r="SS15" s="42"/>
      <c r="ST15" s="42"/>
      <c r="SU15" s="42"/>
      <c r="SV15" s="42"/>
      <c r="SW15" s="42"/>
      <c r="SX15" s="42"/>
      <c r="SY15" s="42"/>
      <c r="SZ15" s="42"/>
      <c r="TA15" s="42"/>
      <c r="TB15" s="42"/>
      <c r="TC15" s="42"/>
      <c r="TD15" s="42"/>
      <c r="TE15" s="42"/>
      <c r="TF15" s="42"/>
      <c r="TG15" s="42"/>
      <c r="TH15" s="42"/>
      <c r="TI15" s="42"/>
      <c r="TJ15" s="42"/>
      <c r="TK15" s="42"/>
      <c r="TL15" s="42"/>
      <c r="TM15" s="42"/>
      <c r="TN15" s="42"/>
      <c r="TO15" s="42"/>
      <c r="TP15" s="42"/>
      <c r="TQ15" s="42"/>
      <c r="TR15" s="42"/>
      <c r="TS15" s="42"/>
      <c r="TT15" s="42"/>
      <c r="TU15" s="42"/>
      <c r="TV15" s="42"/>
      <c r="TW15" s="42"/>
      <c r="TX15" s="42"/>
      <c r="TY15" s="42"/>
      <c r="TZ15" s="42"/>
      <c r="UA15" s="42"/>
      <c r="UB15" s="42"/>
      <c r="UC15" s="42"/>
      <c r="UD15" s="42"/>
      <c r="UE15" s="42"/>
      <c r="UF15" s="42"/>
      <c r="UG15" s="42"/>
      <c r="UH15" s="42"/>
      <c r="UI15" s="42"/>
      <c r="UJ15" s="42"/>
      <c r="UK15" s="42"/>
      <c r="UL15" s="42"/>
      <c r="UM15" s="42"/>
      <c r="UN15" s="42"/>
      <c r="UO15" s="42"/>
      <c r="UP15" s="42"/>
      <c r="UQ15" s="42"/>
      <c r="UR15" s="42"/>
      <c r="US15" s="42"/>
      <c r="UT15" s="42"/>
      <c r="UU15" s="42"/>
      <c r="UV15" s="42"/>
      <c r="UW15" s="42"/>
      <c r="UX15" s="42"/>
      <c r="UY15" s="42"/>
      <c r="UZ15" s="42"/>
      <c r="VA15" s="42"/>
      <c r="VB15" s="42"/>
      <c r="VC15" s="42"/>
      <c r="VD15" s="42"/>
      <c r="VE15" s="42"/>
      <c r="VF15" s="42"/>
      <c r="VG15" s="42"/>
      <c r="VH15" s="42"/>
      <c r="VI15" s="42"/>
      <c r="VJ15" s="42"/>
      <c r="VK15" s="42"/>
      <c r="VL15" s="42"/>
      <c r="VM15" s="42"/>
      <c r="VN15" s="42"/>
      <c r="VO15" s="42"/>
      <c r="VP15" s="42"/>
      <c r="VQ15" s="42"/>
      <c r="VR15" s="42"/>
      <c r="VS15" s="42"/>
      <c r="VT15" s="42"/>
      <c r="VU15" s="42"/>
      <c r="VV15" s="42"/>
      <c r="VW15" s="42"/>
      <c r="VX15" s="42"/>
      <c r="VY15" s="42"/>
      <c r="VZ15" s="42"/>
      <c r="WA15" s="42"/>
      <c r="WB15" s="42"/>
      <c r="WC15" s="42"/>
      <c r="WD15" s="42"/>
      <c r="WE15" s="42"/>
      <c r="WF15" s="42"/>
      <c r="WG15" s="42"/>
      <c r="WH15" s="42"/>
      <c r="WI15" s="42"/>
      <c r="WJ15" s="42"/>
      <c r="WK15" s="42"/>
      <c r="WL15" s="42"/>
      <c r="WM15" s="42"/>
      <c r="WN15" s="42"/>
      <c r="WO15" s="42"/>
      <c r="WP15" s="42"/>
      <c r="WQ15" s="42"/>
      <c r="WR15" s="42"/>
      <c r="WS15" s="42"/>
      <c r="WT15" s="42"/>
      <c r="WU15" s="42"/>
      <c r="WV15" s="42"/>
      <c r="WW15" s="42"/>
      <c r="WX15" s="42"/>
      <c r="WY15" s="42"/>
      <c r="WZ15" s="42"/>
      <c r="XA15" s="42"/>
      <c r="XB15" s="42"/>
      <c r="XC15" s="42"/>
      <c r="XD15" s="42"/>
      <c r="XE15" s="42"/>
      <c r="XF15" s="42"/>
      <c r="XG15" s="42"/>
      <c r="XH15" s="42"/>
      <c r="XI15" s="42"/>
      <c r="XJ15" s="42"/>
      <c r="XK15" s="42"/>
      <c r="XL15" s="42"/>
      <c r="XM15" s="42"/>
      <c r="XN15" s="42"/>
      <c r="XO15" s="42"/>
      <c r="XP15" s="42"/>
      <c r="XQ15" s="42"/>
      <c r="XR15" s="42"/>
      <c r="XS15" s="42"/>
      <c r="XT15" s="42"/>
      <c r="XU15" s="42"/>
      <c r="XV15" s="42"/>
      <c r="XW15" s="42"/>
      <c r="XX15" s="42"/>
      <c r="XY15" s="42"/>
      <c r="XZ15" s="42"/>
      <c r="YA15" s="42"/>
      <c r="YB15" s="42"/>
      <c r="YC15" s="42"/>
      <c r="YD15" s="42"/>
      <c r="YE15" s="42"/>
      <c r="YF15" s="42"/>
      <c r="YG15" s="42"/>
      <c r="YH15" s="42"/>
      <c r="YI15" s="42"/>
      <c r="YJ15" s="42"/>
      <c r="YK15" s="42"/>
      <c r="YL15" s="42"/>
      <c r="YM15" s="42"/>
      <c r="YN15" s="42"/>
      <c r="YO15" s="42"/>
      <c r="YP15" s="42"/>
      <c r="YQ15" s="42"/>
      <c r="YR15" s="42"/>
      <c r="YS15" s="42"/>
      <c r="YT15" s="42"/>
      <c r="YU15" s="42"/>
      <c r="YV15" s="42"/>
      <c r="YW15" s="42"/>
      <c r="YX15" s="42"/>
      <c r="YY15" s="42"/>
      <c r="YZ15" s="42"/>
      <c r="ZA15" s="42"/>
      <c r="ZB15" s="42"/>
      <c r="ZC15" s="42"/>
      <c r="ZD15" s="42"/>
      <c r="ZE15" s="42"/>
      <c r="ZF15" s="42"/>
      <c r="ZG15" s="42"/>
      <c r="ZH15" s="42"/>
      <c r="ZI15" s="42"/>
      <c r="ZJ15" s="42"/>
      <c r="ZK15" s="42"/>
      <c r="ZL15" s="42"/>
      <c r="ZM15" s="42"/>
      <c r="ZN15" s="42"/>
      <c r="ZO15" s="42"/>
      <c r="ZP15" s="42"/>
      <c r="ZQ15" s="42"/>
      <c r="ZR15" s="42"/>
      <c r="ZS15" s="42"/>
      <c r="ZT15" s="42"/>
      <c r="ZU15" s="42"/>
      <c r="ZV15" s="42"/>
      <c r="ZW15" s="42"/>
      <c r="ZX15" s="42"/>
      <c r="ZY15" s="42"/>
      <c r="ZZ15" s="42"/>
      <c r="AAA15" s="42"/>
      <c r="AAB15" s="42"/>
      <c r="AAC15" s="42"/>
      <c r="AAD15" s="42"/>
      <c r="AAE15" s="42"/>
      <c r="AAF15" s="42"/>
      <c r="AAG15" s="42"/>
      <c r="AAH15" s="42"/>
      <c r="AAI15" s="42"/>
      <c r="AAJ15" s="42"/>
      <c r="AAK15" s="42"/>
      <c r="AAL15" s="42"/>
      <c r="AAM15" s="42"/>
      <c r="AAN15" s="42"/>
      <c r="AAO15" s="42"/>
      <c r="AAP15" s="42"/>
      <c r="AAQ15" s="42"/>
      <c r="AAR15" s="42"/>
      <c r="AAS15" s="42"/>
      <c r="AAT15" s="42"/>
      <c r="AAU15" s="42"/>
      <c r="AAV15" s="42"/>
      <c r="AAW15" s="42"/>
      <c r="AAX15" s="42"/>
      <c r="AAY15" s="42"/>
      <c r="AAZ15" s="42"/>
      <c r="ABA15" s="42"/>
      <c r="ABB15" s="42"/>
      <c r="ABC15" s="42"/>
      <c r="ABD15" s="42"/>
      <c r="ABE15" s="42"/>
      <c r="ABF15" s="42"/>
      <c r="ABG15" s="42"/>
      <c r="ABH15" s="42"/>
      <c r="ABI15" s="42"/>
      <c r="ABJ15" s="42"/>
      <c r="ABK15" s="42"/>
      <c r="ABL15" s="42"/>
      <c r="ABM15" s="42"/>
      <c r="ABN15" s="42"/>
      <c r="ABO15" s="42"/>
      <c r="ABP15" s="42"/>
      <c r="ABQ15" s="42"/>
      <c r="ABR15" s="42"/>
      <c r="ABS15" s="42"/>
      <c r="ABT15" s="42"/>
      <c r="ABU15" s="42"/>
      <c r="ABV15" s="42"/>
      <c r="ABW15" s="42"/>
      <c r="ABX15" s="42"/>
      <c r="ABY15" s="42"/>
      <c r="ABZ15" s="42"/>
      <c r="ACA15" s="42"/>
      <c r="ACB15" s="42"/>
      <c r="ACC15" s="42"/>
      <c r="ACD15" s="42"/>
      <c r="ACE15" s="42"/>
      <c r="ACF15" s="42"/>
      <c r="ACG15" s="42"/>
      <c r="ACH15" s="42"/>
      <c r="ACI15" s="42"/>
      <c r="ACJ15" s="42"/>
      <c r="ACK15" s="42"/>
      <c r="ACL15" s="42"/>
      <c r="ACM15" s="42"/>
      <c r="ACN15" s="42"/>
      <c r="ACO15" s="42"/>
      <c r="ACP15" s="42"/>
      <c r="ACQ15" s="42"/>
      <c r="ACR15" s="42"/>
      <c r="ACS15" s="42"/>
      <c r="ACT15" s="42"/>
      <c r="ACU15" s="42"/>
      <c r="ACV15" s="42"/>
      <c r="ACW15" s="42"/>
      <c r="ACX15" s="42"/>
      <c r="ACY15" s="42"/>
      <c r="ACZ15" s="42"/>
      <c r="ADA15" s="42"/>
      <c r="ADB15" s="42"/>
      <c r="ADC15" s="42"/>
      <c r="ADD15" s="42"/>
      <c r="ADE15" s="42"/>
      <c r="ADF15" s="42"/>
      <c r="ADG15" s="42"/>
      <c r="ADH15" s="42"/>
      <c r="ADI15" s="42"/>
      <c r="ADJ15" s="42"/>
      <c r="ADK15" s="42"/>
      <c r="ADL15" s="42"/>
      <c r="ADM15" s="42"/>
      <c r="ADN15" s="42"/>
      <c r="ADO15" s="42"/>
      <c r="ADP15" s="42"/>
      <c r="ADQ15" s="42"/>
      <c r="ADR15" s="42"/>
      <c r="ADS15" s="42"/>
      <c r="ADT15" s="42"/>
      <c r="ADU15" s="42"/>
      <c r="ADV15" s="42"/>
      <c r="ADW15" s="42"/>
      <c r="ADX15" s="42"/>
      <c r="ADY15" s="42"/>
      <c r="ADZ15" s="42"/>
      <c r="AEA15" s="42"/>
      <c r="AEB15" s="42"/>
      <c r="AEC15" s="42"/>
      <c r="AED15" s="42"/>
      <c r="AEE15" s="42"/>
      <c r="AEF15" s="42"/>
      <c r="AEG15" s="42"/>
      <c r="AEH15" s="42"/>
      <c r="AEI15" s="42"/>
      <c r="AEJ15" s="42"/>
      <c r="AEK15" s="42"/>
      <c r="AEL15" s="42"/>
      <c r="AEM15" s="42"/>
      <c r="AEN15" s="42"/>
      <c r="AEO15" s="42"/>
      <c r="AEP15" s="42"/>
      <c r="AEQ15" s="42"/>
      <c r="AER15" s="42"/>
      <c r="AES15" s="42"/>
      <c r="AET15" s="42"/>
      <c r="AEU15" s="42"/>
      <c r="AEV15" s="42"/>
      <c r="AEW15" s="42"/>
      <c r="AEX15" s="42"/>
      <c r="AEY15" s="42"/>
      <c r="AEZ15" s="42"/>
      <c r="AFA15" s="42"/>
      <c r="AFB15" s="42"/>
      <c r="AFC15" s="42"/>
      <c r="AFD15" s="42"/>
      <c r="AFE15" s="42"/>
      <c r="AFF15" s="42"/>
      <c r="AFG15" s="42"/>
      <c r="AFH15" s="42"/>
      <c r="AFI15" s="42"/>
      <c r="AFJ15" s="42"/>
      <c r="AFK15" s="42"/>
      <c r="AFL15" s="42"/>
      <c r="AFM15" s="42"/>
      <c r="AFN15" s="42"/>
      <c r="AFO15" s="42"/>
      <c r="AFP15" s="42"/>
      <c r="AFQ15" s="42"/>
      <c r="AFR15" s="42"/>
      <c r="AFS15" s="42"/>
      <c r="AFT15" s="42"/>
      <c r="AFU15" s="42"/>
      <c r="AFV15" s="42"/>
      <c r="AFW15" s="42"/>
      <c r="AFX15" s="42"/>
      <c r="AFY15" s="42"/>
      <c r="AFZ15" s="42"/>
      <c r="AGA15" s="42"/>
      <c r="AGB15" s="42"/>
      <c r="AGC15" s="42"/>
      <c r="AGD15" s="42"/>
      <c r="AGE15" s="42"/>
      <c r="AGF15" s="42"/>
      <c r="AGG15" s="42"/>
      <c r="AGH15" s="42"/>
      <c r="AGI15" s="42"/>
      <c r="AGJ15" s="42"/>
      <c r="AGK15" s="42"/>
      <c r="AGL15" s="42"/>
      <c r="AGM15" s="42"/>
      <c r="AGN15" s="42"/>
      <c r="AGO15" s="42"/>
      <c r="AGP15" s="42"/>
      <c r="AGQ15" s="42"/>
      <c r="AGR15" s="42"/>
      <c r="AGS15" s="42"/>
      <c r="AGT15" s="42"/>
      <c r="AGU15" s="42"/>
      <c r="AGV15" s="42"/>
      <c r="AGW15" s="42"/>
      <c r="AGX15" s="42"/>
      <c r="AGY15" s="42"/>
      <c r="AGZ15" s="42"/>
      <c r="AHA15" s="42"/>
      <c r="AHB15" s="42"/>
      <c r="AHC15" s="42"/>
      <c r="AHD15" s="42"/>
      <c r="AHE15" s="42"/>
      <c r="AHF15" s="42"/>
      <c r="AHG15" s="42"/>
      <c r="AHH15" s="42"/>
      <c r="AHI15" s="42"/>
      <c r="AHJ15" s="42"/>
      <c r="AHK15" s="42"/>
      <c r="AHL15" s="42"/>
      <c r="AHM15" s="42"/>
      <c r="AHN15" s="42"/>
      <c r="AHO15" s="42"/>
      <c r="AHP15" s="42"/>
      <c r="AHQ15" s="42"/>
      <c r="AHR15" s="42"/>
      <c r="AHS15" s="42"/>
      <c r="AHT15" s="42"/>
      <c r="AHU15" s="42"/>
      <c r="AHV15" s="42"/>
      <c r="AHW15" s="42"/>
      <c r="AHX15" s="42"/>
      <c r="AHY15" s="42"/>
      <c r="AHZ15" s="42"/>
      <c r="AIA15" s="42"/>
      <c r="AIB15" s="42"/>
      <c r="AIC15" s="42"/>
      <c r="AID15" s="42"/>
      <c r="AIE15" s="42"/>
      <c r="AIF15" s="42"/>
      <c r="AIG15" s="42"/>
      <c r="AIH15" s="42"/>
      <c r="AII15" s="42"/>
      <c r="AIJ15" s="42"/>
      <c r="AIK15" s="42"/>
      <c r="AIL15" s="42"/>
      <c r="AIM15" s="42"/>
      <c r="AIN15" s="42"/>
      <c r="AIO15" s="42"/>
      <c r="AIP15" s="42"/>
      <c r="AIQ15" s="42"/>
      <c r="AIR15" s="42"/>
      <c r="AIS15" s="42"/>
      <c r="AIT15" s="42"/>
      <c r="AIU15" s="42"/>
      <c r="AIV15" s="42"/>
      <c r="AIW15" s="42"/>
      <c r="AIX15" s="42"/>
      <c r="AIY15" s="42"/>
      <c r="AIZ15" s="42"/>
      <c r="AJA15" s="42"/>
      <c r="AJB15" s="42"/>
      <c r="AJC15" s="42"/>
      <c r="AJD15" s="42"/>
      <c r="AJE15" s="42"/>
      <c r="AJF15" s="42"/>
      <c r="AJG15" s="42"/>
      <c r="AJH15" s="42"/>
      <c r="AJI15" s="42"/>
      <c r="AJJ15" s="42"/>
      <c r="AJK15" s="42"/>
      <c r="AJL15" s="42"/>
      <c r="AJM15" s="42"/>
      <c r="AJN15" s="42"/>
      <c r="AJO15" s="42"/>
      <c r="AJP15" s="42"/>
      <c r="AJQ15" s="42"/>
      <c r="AJR15" s="42"/>
      <c r="AJS15" s="42"/>
      <c r="AJT15" s="42"/>
      <c r="AJU15" s="42"/>
      <c r="AJV15" s="42"/>
      <c r="AJW15" s="42"/>
      <c r="AJX15" s="42"/>
      <c r="AJY15" s="42"/>
      <c r="AJZ15" s="42"/>
      <c r="AKA15" s="42"/>
      <c r="AKB15" s="42"/>
      <c r="AKC15" s="42"/>
      <c r="AKD15" s="42"/>
      <c r="AKE15" s="42"/>
      <c r="AKF15" s="42"/>
      <c r="AKG15" s="42"/>
      <c r="AKH15" s="42"/>
      <c r="AKI15" s="42"/>
      <c r="AKJ15" s="42"/>
      <c r="AKK15" s="42"/>
      <c r="AKL15" s="42"/>
      <c r="AKM15" s="42"/>
      <c r="AKN15" s="42"/>
      <c r="AKO15" s="42"/>
      <c r="AKP15" s="42"/>
      <c r="AKQ15" s="42"/>
      <c r="AKR15" s="42"/>
      <c r="AKS15" s="42"/>
      <c r="AKT15" s="42"/>
      <c r="AKU15" s="42"/>
      <c r="AKV15" s="42"/>
      <c r="AKW15" s="42"/>
      <c r="AKX15" s="42"/>
      <c r="AKY15" s="42"/>
      <c r="AKZ15" s="42"/>
      <c r="ALA15" s="42"/>
      <c r="ALB15" s="42"/>
      <c r="ALC15" s="42"/>
      <c r="ALD15" s="42"/>
      <c r="ALE15" s="42"/>
      <c r="ALF15" s="42"/>
      <c r="ALG15" s="42"/>
      <c r="ALH15" s="42"/>
      <c r="ALI15" s="42"/>
      <c r="ALJ15" s="42"/>
      <c r="ALK15" s="42"/>
      <c r="ALL15" s="42"/>
      <c r="ALM15" s="42"/>
      <c r="ALN15" s="42"/>
      <c r="ALO15" s="42"/>
      <c r="ALP15" s="42"/>
      <c r="ALQ15" s="42"/>
      <c r="ALR15" s="42"/>
      <c r="ALS15" s="42"/>
      <c r="ALT15" s="42"/>
      <c r="ALU15" s="42"/>
      <c r="ALV15" s="42"/>
      <c r="ALW15" s="42"/>
      <c r="ALX15" s="42"/>
      <c r="ALY15" s="42"/>
      <c r="ALZ15" s="42"/>
      <c r="AMA15" s="42"/>
      <c r="AMB15" s="42"/>
      <c r="AMC15" s="42"/>
      <c r="AMD15" s="42"/>
      <c r="AME15" s="42"/>
      <c r="AMF15" s="42"/>
      <c r="AMG15" s="42"/>
      <c r="AMH15" s="42"/>
      <c r="AMI15" s="42"/>
      <c r="AMJ15" s="42"/>
      <c r="AMK15" s="42"/>
      <c r="AML15" s="42"/>
      <c r="AMM15" s="42"/>
      <c r="AMN15" s="42"/>
      <c r="AMO15" s="42"/>
      <c r="AMP15" s="42"/>
      <c r="AMQ15" s="42"/>
      <c r="AMR15" s="42"/>
      <c r="AMS15" s="42"/>
      <c r="AMT15" s="42"/>
      <c r="AMU15" s="42"/>
      <c r="AMV15" s="42"/>
      <c r="AMW15" s="42"/>
      <c r="AMX15" s="42"/>
      <c r="AMY15" s="42"/>
      <c r="AMZ15" s="42"/>
      <c r="ANA15" s="42"/>
      <c r="ANB15" s="42"/>
      <c r="ANC15" s="42"/>
      <c r="AND15" s="42"/>
      <c r="ANE15" s="42"/>
      <c r="ANF15" s="42"/>
      <c r="ANG15" s="42"/>
      <c r="ANH15" s="42"/>
      <c r="ANI15" s="42"/>
      <c r="ANJ15" s="42"/>
      <c r="ANK15" s="42"/>
      <c r="ANL15" s="42"/>
      <c r="ANM15" s="42"/>
      <c r="ANN15" s="42"/>
      <c r="ANO15" s="42"/>
      <c r="ANP15" s="42"/>
      <c r="ANQ15" s="42"/>
      <c r="ANR15" s="42"/>
      <c r="ANS15" s="42"/>
      <c r="ANT15" s="42"/>
      <c r="ANU15" s="42"/>
      <c r="ANV15" s="42"/>
      <c r="ANW15" s="42"/>
      <c r="ANX15" s="42"/>
      <c r="ANY15" s="42"/>
      <c r="ANZ15" s="42"/>
      <c r="AOA15" s="42"/>
      <c r="AOB15" s="42"/>
      <c r="AOC15" s="42"/>
      <c r="AOD15" s="42"/>
      <c r="AOE15" s="42"/>
      <c r="AOF15" s="42"/>
      <c r="AOG15" s="42"/>
      <c r="AOH15" s="42"/>
      <c r="AOI15" s="42"/>
      <c r="AOJ15" s="42"/>
      <c r="AOK15" s="42"/>
      <c r="AOL15" s="42"/>
      <c r="AOM15" s="42"/>
      <c r="AON15" s="42"/>
      <c r="AOO15" s="42"/>
      <c r="AOP15" s="42"/>
      <c r="AOQ15" s="42"/>
      <c r="AOR15" s="42"/>
      <c r="AOS15" s="42"/>
      <c r="AOT15" s="42"/>
      <c r="AOU15" s="42"/>
      <c r="AOV15" s="42"/>
      <c r="AOW15" s="42"/>
      <c r="AOX15" s="42"/>
      <c r="AOY15" s="42"/>
      <c r="AOZ15" s="42"/>
      <c r="APA15" s="42"/>
      <c r="APB15" s="42"/>
      <c r="APC15" s="42"/>
      <c r="APD15" s="42"/>
      <c r="APE15" s="42"/>
      <c r="APF15" s="42"/>
      <c r="APG15" s="42"/>
      <c r="APH15" s="42"/>
      <c r="API15" s="42"/>
      <c r="APJ15" s="42"/>
      <c r="APK15" s="42"/>
      <c r="APL15" s="42"/>
      <c r="APM15" s="42"/>
      <c r="APN15" s="42"/>
      <c r="APO15" s="42"/>
      <c r="APP15" s="42"/>
      <c r="APQ15" s="42"/>
      <c r="APR15" s="42"/>
      <c r="APS15" s="42"/>
      <c r="APT15" s="42"/>
      <c r="APU15" s="42"/>
      <c r="APV15" s="42"/>
      <c r="APW15" s="42"/>
      <c r="APX15" s="42"/>
      <c r="APY15" s="42"/>
      <c r="APZ15" s="42"/>
      <c r="AQA15" s="42"/>
      <c r="AQB15" s="42"/>
      <c r="AQC15" s="42"/>
      <c r="AQD15" s="42"/>
      <c r="AQE15" s="42"/>
      <c r="AQF15" s="42"/>
      <c r="AQG15" s="42"/>
      <c r="AQH15" s="42"/>
      <c r="AQI15" s="42"/>
      <c r="AQJ15" s="42"/>
      <c r="AQK15" s="42"/>
      <c r="AQL15" s="42"/>
      <c r="AQM15" s="42"/>
      <c r="AQN15" s="42"/>
      <c r="AQO15" s="42"/>
      <c r="AQP15" s="42"/>
      <c r="AQQ15" s="42"/>
      <c r="AQR15" s="42"/>
      <c r="AQS15" s="42"/>
      <c r="AQT15" s="42"/>
      <c r="AQU15" s="42"/>
      <c r="AQV15" s="42"/>
      <c r="AQW15" s="42"/>
      <c r="AQX15" s="42"/>
      <c r="AQY15" s="42"/>
      <c r="AQZ15" s="42"/>
      <c r="ARA15" s="42"/>
      <c r="ARB15" s="42"/>
      <c r="ARC15" s="42"/>
      <c r="ARD15" s="42"/>
      <c r="ARE15" s="42"/>
      <c r="ARF15" s="42"/>
      <c r="ARG15" s="42"/>
      <c r="ARH15" s="42"/>
      <c r="ARI15" s="42"/>
      <c r="ARJ15" s="42"/>
      <c r="ARK15" s="42"/>
      <c r="ARL15" s="42"/>
      <c r="ARM15" s="42"/>
      <c r="ARN15" s="42"/>
      <c r="ARO15" s="42"/>
      <c r="ARP15" s="42"/>
      <c r="ARQ15" s="42"/>
      <c r="ARR15" s="42"/>
      <c r="ARS15" s="42"/>
      <c r="ART15" s="42"/>
      <c r="ARU15" s="42"/>
      <c r="ARV15" s="42"/>
      <c r="ARW15" s="42"/>
      <c r="ARX15" s="42"/>
      <c r="ARY15" s="42"/>
      <c r="ARZ15" s="42"/>
      <c r="ASA15" s="42"/>
      <c r="ASB15" s="42"/>
      <c r="ASC15" s="42"/>
      <c r="ASD15" s="42"/>
      <c r="ASE15" s="42"/>
      <c r="ASF15" s="42"/>
      <c r="ASG15" s="42"/>
      <c r="ASH15" s="42"/>
      <c r="ASI15" s="42"/>
      <c r="ASJ15" s="42"/>
      <c r="ASK15" s="42"/>
      <c r="ASL15" s="42"/>
      <c r="ASM15" s="42"/>
      <c r="ASN15" s="42"/>
      <c r="ASO15" s="42"/>
      <c r="ASP15" s="42"/>
      <c r="ASQ15" s="42"/>
      <c r="ASR15" s="42"/>
      <c r="ASS15" s="42"/>
      <c r="AST15" s="42"/>
      <c r="ASU15" s="42"/>
      <c r="ASV15" s="42"/>
      <c r="ASW15" s="42"/>
      <c r="ASX15" s="42"/>
      <c r="ASY15" s="42"/>
      <c r="ASZ15" s="42"/>
      <c r="ATA15" s="42"/>
      <c r="ATB15" s="42"/>
      <c r="ATC15" s="42"/>
      <c r="ATD15" s="42"/>
      <c r="ATE15" s="42"/>
      <c r="ATF15" s="42"/>
      <c r="ATG15" s="42"/>
      <c r="ATH15" s="42"/>
      <c r="ATI15" s="42"/>
      <c r="ATJ15" s="42"/>
      <c r="ATK15" s="42"/>
      <c r="ATL15" s="42"/>
      <c r="ATM15" s="42"/>
      <c r="ATN15" s="42"/>
      <c r="ATO15" s="42"/>
      <c r="ATP15" s="42"/>
      <c r="ATQ15" s="42"/>
      <c r="ATR15" s="42"/>
      <c r="ATS15" s="42"/>
      <c r="ATT15" s="42"/>
      <c r="ATU15" s="42"/>
      <c r="ATV15" s="42"/>
      <c r="ATW15" s="42"/>
      <c r="ATX15" s="42"/>
      <c r="ATY15" s="42"/>
      <c r="ATZ15" s="42"/>
      <c r="AUA15" s="42"/>
      <c r="AUB15" s="42"/>
      <c r="AUC15" s="42"/>
      <c r="AUD15" s="42"/>
      <c r="AUE15" s="42"/>
      <c r="AUF15" s="42"/>
      <c r="AUG15" s="42"/>
      <c r="AUH15" s="42"/>
      <c r="AUI15" s="42"/>
      <c r="AUJ15" s="42"/>
      <c r="AUK15" s="42"/>
      <c r="AUL15" s="42"/>
      <c r="AUM15" s="42"/>
      <c r="AUN15" s="42"/>
      <c r="AUO15" s="42"/>
      <c r="AUP15" s="42"/>
      <c r="AUQ15" s="42"/>
      <c r="AUR15" s="42"/>
      <c r="AUS15" s="42"/>
      <c r="AUT15" s="42"/>
      <c r="AUU15" s="42"/>
      <c r="AUV15" s="42"/>
      <c r="AUW15" s="42"/>
      <c r="AUX15" s="42"/>
      <c r="AUY15" s="42"/>
      <c r="AUZ15" s="42"/>
      <c r="AVA15" s="42"/>
      <c r="AVB15" s="42"/>
      <c r="AVC15" s="42"/>
      <c r="AVD15" s="42"/>
      <c r="AVE15" s="42"/>
      <c r="AVF15" s="42"/>
      <c r="AVG15" s="42"/>
      <c r="AVH15" s="42"/>
      <c r="AVI15" s="42"/>
      <c r="AVJ15" s="42"/>
      <c r="AVK15" s="42"/>
      <c r="AVL15" s="42"/>
      <c r="AVM15" s="42"/>
      <c r="AVN15" s="42"/>
      <c r="AVO15" s="42"/>
      <c r="AVP15" s="42"/>
      <c r="AVQ15" s="42"/>
      <c r="AVR15" s="42"/>
      <c r="AVS15" s="42"/>
      <c r="AVT15" s="42"/>
      <c r="AVU15" s="42"/>
      <c r="AVV15" s="42"/>
      <c r="AVW15" s="42"/>
      <c r="AVX15" s="42"/>
      <c r="AVY15" s="42"/>
      <c r="AVZ15" s="42"/>
      <c r="AWA15" s="42"/>
      <c r="AWB15" s="42"/>
      <c r="AWC15" s="42"/>
      <c r="AWD15" s="42"/>
      <c r="AWE15" s="42"/>
      <c r="AWF15" s="42"/>
      <c r="AWG15" s="42"/>
      <c r="AWH15" s="42"/>
      <c r="AWI15" s="42"/>
      <c r="AWJ15" s="42"/>
      <c r="AWK15" s="42"/>
      <c r="AWL15" s="42"/>
      <c r="AWM15" s="42"/>
      <c r="AWN15" s="42"/>
      <c r="AWO15" s="42"/>
      <c r="AWP15" s="42"/>
      <c r="AWQ15" s="42"/>
      <c r="AWR15" s="42"/>
      <c r="AWS15" s="42"/>
      <c r="AWT15" s="42"/>
      <c r="AWU15" s="42"/>
      <c r="AWV15" s="42"/>
      <c r="AWW15" s="42"/>
      <c r="AWX15" s="42"/>
      <c r="AWY15" s="42"/>
      <c r="AWZ15" s="42"/>
      <c r="AXA15" s="42"/>
      <c r="AXB15" s="42"/>
      <c r="AXC15" s="42"/>
      <c r="AXD15" s="42"/>
      <c r="AXE15" s="42"/>
      <c r="AXF15" s="42"/>
      <c r="AXG15" s="42"/>
      <c r="AXH15" s="42"/>
      <c r="AXI15" s="42"/>
      <c r="AXJ15" s="42"/>
      <c r="AXK15" s="42"/>
      <c r="AXL15" s="42"/>
      <c r="AXM15" s="42"/>
      <c r="AXN15" s="42"/>
      <c r="AXO15" s="42"/>
      <c r="AXP15" s="42"/>
      <c r="AXQ15" s="42"/>
      <c r="AXR15" s="42"/>
      <c r="AXS15" s="42"/>
      <c r="AXT15" s="42"/>
      <c r="AXU15" s="42"/>
      <c r="AXV15" s="42"/>
      <c r="AXW15" s="42"/>
      <c r="AXX15" s="42"/>
      <c r="AXY15" s="42"/>
      <c r="AXZ15" s="42"/>
      <c r="AYA15" s="42"/>
      <c r="AYB15" s="42"/>
      <c r="AYC15" s="42"/>
      <c r="AYD15" s="42"/>
      <c r="AYE15" s="42"/>
      <c r="AYF15" s="42"/>
      <c r="AYG15" s="42"/>
      <c r="AYH15" s="42"/>
      <c r="AYI15" s="42"/>
      <c r="AYJ15" s="42"/>
      <c r="AYK15" s="42"/>
      <c r="AYL15" s="42"/>
      <c r="AYM15" s="42"/>
      <c r="AYN15" s="42"/>
      <c r="AYO15" s="42"/>
      <c r="AYP15" s="42"/>
      <c r="AYQ15" s="42"/>
      <c r="AYR15" s="42"/>
      <c r="AYS15" s="42"/>
      <c r="AYT15" s="42"/>
      <c r="AYU15" s="42"/>
      <c r="AYV15" s="42"/>
      <c r="AYW15" s="42"/>
      <c r="AYX15" s="42"/>
      <c r="AYY15" s="42"/>
      <c r="AYZ15" s="42"/>
      <c r="AZA15" s="42"/>
      <c r="AZB15" s="42"/>
      <c r="AZC15" s="42"/>
      <c r="AZD15" s="42"/>
      <c r="AZE15" s="42"/>
      <c r="AZF15" s="42"/>
      <c r="AZG15" s="42"/>
      <c r="AZH15" s="42"/>
      <c r="AZI15" s="42"/>
      <c r="AZJ15" s="42"/>
      <c r="AZK15" s="42"/>
      <c r="AZL15" s="42"/>
      <c r="AZM15" s="42"/>
      <c r="AZN15" s="42"/>
      <c r="AZO15" s="42"/>
      <c r="AZP15" s="42"/>
      <c r="AZQ15" s="42"/>
      <c r="AZR15" s="42"/>
      <c r="AZS15" s="42"/>
      <c r="AZT15" s="42"/>
      <c r="AZU15" s="42"/>
      <c r="AZV15" s="42"/>
      <c r="AZW15" s="42"/>
      <c r="AZX15" s="42"/>
      <c r="AZY15" s="42"/>
      <c r="AZZ15" s="42"/>
      <c r="BAA15" s="42"/>
      <c r="BAB15" s="42"/>
      <c r="BAC15" s="42"/>
      <c r="BAD15" s="42"/>
      <c r="BAE15" s="42"/>
      <c r="BAF15" s="42"/>
      <c r="BAG15" s="42"/>
      <c r="BAH15" s="42"/>
      <c r="BAI15" s="42"/>
      <c r="BAJ15" s="42"/>
      <c r="BAK15" s="42"/>
      <c r="BAL15" s="42"/>
      <c r="BAM15" s="42"/>
      <c r="BAN15" s="42"/>
      <c r="BAO15" s="42"/>
      <c r="BAP15" s="42"/>
      <c r="BAQ15" s="42"/>
      <c r="BAR15" s="42"/>
      <c r="BAS15" s="42"/>
      <c r="BAT15" s="42"/>
      <c r="BAU15" s="42"/>
      <c r="BAV15" s="42"/>
      <c r="BAW15" s="42"/>
      <c r="BAX15" s="42"/>
      <c r="BAY15" s="42"/>
      <c r="BAZ15" s="42"/>
      <c r="BBA15" s="42"/>
      <c r="BBB15" s="42"/>
      <c r="BBC15" s="42"/>
      <c r="BBD15" s="42"/>
      <c r="BBE15" s="42"/>
      <c r="BBF15" s="42"/>
      <c r="BBG15" s="42"/>
      <c r="BBH15" s="42"/>
      <c r="BBI15" s="42"/>
      <c r="BBJ15" s="42"/>
      <c r="BBK15" s="42"/>
      <c r="BBL15" s="42"/>
      <c r="BBM15" s="42"/>
      <c r="BBN15" s="42"/>
      <c r="BBO15" s="42"/>
      <c r="BBP15" s="42"/>
      <c r="BBQ15" s="42"/>
      <c r="BBR15" s="42"/>
      <c r="BBS15" s="42"/>
      <c r="BBT15" s="42"/>
      <c r="BBU15" s="42"/>
      <c r="BBV15" s="42"/>
      <c r="BBW15" s="42"/>
      <c r="BBX15" s="42"/>
      <c r="BBY15" s="42"/>
      <c r="BBZ15" s="42"/>
      <c r="BCA15" s="42"/>
      <c r="BCB15" s="42"/>
      <c r="BCC15" s="42"/>
      <c r="BCD15" s="42"/>
      <c r="BCE15" s="42"/>
      <c r="BCF15" s="42"/>
      <c r="BCG15" s="42"/>
      <c r="BCH15" s="42"/>
      <c r="BCI15" s="42"/>
      <c r="BCJ15" s="42"/>
      <c r="BCK15" s="42"/>
      <c r="BCL15" s="42"/>
      <c r="BCM15" s="42"/>
      <c r="BCN15" s="42"/>
      <c r="BCO15" s="42"/>
      <c r="BCP15" s="42"/>
      <c r="BCQ15" s="42"/>
      <c r="BCR15" s="42"/>
      <c r="BCS15" s="42"/>
      <c r="BCT15" s="42"/>
      <c r="BCU15" s="42"/>
      <c r="BCV15" s="42"/>
      <c r="BCW15" s="42"/>
      <c r="BCX15" s="42"/>
      <c r="BCY15" s="42"/>
      <c r="BCZ15" s="42"/>
      <c r="BDA15" s="42"/>
      <c r="BDB15" s="42"/>
      <c r="BDC15" s="42"/>
      <c r="BDD15" s="42"/>
      <c r="BDE15" s="42"/>
      <c r="BDF15" s="42"/>
      <c r="BDG15" s="42"/>
      <c r="BDH15" s="42"/>
      <c r="BDI15" s="42"/>
      <c r="BDJ15" s="42"/>
      <c r="BDK15" s="42"/>
      <c r="BDL15" s="42"/>
      <c r="BDM15" s="42"/>
      <c r="BDN15" s="42"/>
      <c r="BDO15" s="42"/>
      <c r="BDP15" s="42"/>
      <c r="BDQ15" s="42"/>
      <c r="BDR15" s="42"/>
      <c r="BDS15" s="42"/>
      <c r="BDT15" s="42"/>
      <c r="BDU15" s="42"/>
      <c r="BDV15" s="42"/>
      <c r="BDW15" s="42"/>
      <c r="BDX15" s="42"/>
      <c r="BDY15" s="42"/>
      <c r="BDZ15" s="42"/>
      <c r="BEA15" s="42"/>
      <c r="BEB15" s="42"/>
      <c r="BEC15" s="42"/>
      <c r="BED15" s="42"/>
      <c r="BEE15" s="42"/>
      <c r="BEF15" s="42"/>
      <c r="BEG15" s="42"/>
      <c r="BEH15" s="42"/>
      <c r="BEI15" s="42"/>
      <c r="BEJ15" s="42"/>
      <c r="BEK15" s="42"/>
      <c r="BEL15" s="42"/>
      <c r="BEM15" s="42"/>
      <c r="BEN15" s="42"/>
      <c r="BEO15" s="42"/>
      <c r="BEP15" s="42"/>
      <c r="BEQ15" s="42"/>
      <c r="BER15" s="42"/>
      <c r="BES15" s="42"/>
      <c r="BET15" s="42"/>
      <c r="BEU15" s="42"/>
      <c r="BEV15" s="42"/>
      <c r="BEW15" s="42"/>
      <c r="BEX15" s="42"/>
      <c r="BEY15" s="42"/>
      <c r="BEZ15" s="42"/>
      <c r="BFA15" s="42"/>
      <c r="BFB15" s="42"/>
      <c r="BFC15" s="42"/>
      <c r="BFD15" s="42"/>
      <c r="BFE15" s="42"/>
      <c r="BFF15" s="42"/>
      <c r="BFG15" s="42"/>
      <c r="BFH15" s="42"/>
      <c r="BFI15" s="42"/>
      <c r="BFJ15" s="42"/>
      <c r="BFK15" s="42"/>
      <c r="BFL15" s="42"/>
      <c r="BFM15" s="42"/>
      <c r="BFN15" s="42"/>
      <c r="BFO15" s="42"/>
      <c r="BFP15" s="42"/>
      <c r="BFQ15" s="42"/>
      <c r="BFR15" s="42"/>
      <c r="BFS15" s="42"/>
      <c r="BFT15" s="42"/>
      <c r="BFU15" s="42"/>
      <c r="BFV15" s="42"/>
      <c r="BFW15" s="42"/>
      <c r="BFX15" s="42"/>
      <c r="BFY15" s="42"/>
      <c r="BFZ15" s="42"/>
      <c r="BGA15" s="42"/>
      <c r="BGB15" s="42"/>
      <c r="BGC15" s="42"/>
      <c r="BGD15" s="42"/>
      <c r="BGE15" s="42"/>
      <c r="BGF15" s="42"/>
      <c r="BGG15" s="42"/>
      <c r="BGH15" s="42"/>
      <c r="BGI15" s="42"/>
      <c r="BGJ15" s="42"/>
      <c r="BGK15" s="42"/>
      <c r="BGL15" s="42"/>
      <c r="BGM15" s="42"/>
      <c r="BGN15" s="42"/>
      <c r="BGO15" s="42"/>
      <c r="BGP15" s="42"/>
      <c r="BGQ15" s="42"/>
      <c r="BGR15" s="42"/>
      <c r="BGS15" s="42"/>
      <c r="BGT15" s="42"/>
      <c r="BGU15" s="42"/>
      <c r="BGV15" s="42"/>
      <c r="BGW15" s="42"/>
      <c r="BGX15" s="42"/>
      <c r="BGY15" s="42"/>
      <c r="BGZ15" s="42"/>
      <c r="BHA15" s="42"/>
      <c r="BHB15" s="42"/>
      <c r="BHC15" s="42"/>
      <c r="BHD15" s="42"/>
      <c r="BHE15" s="42"/>
      <c r="BHF15" s="42"/>
      <c r="BHG15" s="42"/>
      <c r="BHH15" s="42"/>
      <c r="BHI15" s="42"/>
      <c r="BHJ15" s="42"/>
      <c r="BHK15" s="42"/>
      <c r="BHL15" s="42"/>
      <c r="BHM15" s="42"/>
      <c r="BHN15" s="42"/>
      <c r="BHO15" s="42"/>
      <c r="BHP15" s="42"/>
      <c r="BHQ15" s="42"/>
      <c r="BHR15" s="42"/>
      <c r="BHS15" s="42"/>
      <c r="BHT15" s="42"/>
      <c r="BHU15" s="42"/>
      <c r="BHV15" s="42"/>
      <c r="BHW15" s="42"/>
      <c r="BHX15" s="42"/>
      <c r="BHY15" s="42"/>
      <c r="BHZ15" s="42"/>
      <c r="BIA15" s="42"/>
      <c r="BIB15" s="42"/>
      <c r="BIC15" s="42"/>
      <c r="BID15" s="42"/>
      <c r="BIE15" s="42"/>
      <c r="BIF15" s="42"/>
      <c r="BIG15" s="42"/>
      <c r="BIH15" s="42"/>
      <c r="BII15" s="42"/>
      <c r="BIJ15" s="42"/>
      <c r="BIK15" s="42"/>
      <c r="BIL15" s="42"/>
      <c r="BIM15" s="42"/>
      <c r="BIN15" s="42"/>
      <c r="BIO15" s="42"/>
      <c r="BIP15" s="42"/>
      <c r="BIQ15" s="42"/>
      <c r="BIR15" s="42"/>
      <c r="BIS15" s="42"/>
      <c r="BIT15" s="42"/>
      <c r="BIU15" s="42"/>
      <c r="BIV15" s="42"/>
      <c r="BIW15" s="42"/>
      <c r="BIX15" s="42"/>
      <c r="BIY15" s="42"/>
      <c r="BIZ15" s="42"/>
      <c r="BJA15" s="42"/>
      <c r="BJB15" s="42"/>
      <c r="BJC15" s="42"/>
      <c r="BJD15" s="42"/>
      <c r="BJE15" s="42"/>
      <c r="BJF15" s="42"/>
      <c r="BJG15" s="42"/>
      <c r="BJH15" s="42"/>
      <c r="BJI15" s="42"/>
      <c r="BJJ15" s="42"/>
      <c r="BJK15" s="42"/>
      <c r="BJL15" s="42"/>
      <c r="BJM15" s="42"/>
      <c r="BJN15" s="42"/>
      <c r="BJO15" s="42"/>
      <c r="BJP15" s="42"/>
      <c r="BJQ15" s="42"/>
      <c r="BJR15" s="42"/>
      <c r="BJS15" s="42"/>
      <c r="BJT15" s="42"/>
      <c r="BJU15" s="42"/>
      <c r="BJV15" s="42"/>
      <c r="BJW15" s="42"/>
      <c r="BJX15" s="42"/>
      <c r="BJY15" s="42"/>
      <c r="BJZ15" s="42"/>
      <c r="BKA15" s="42"/>
      <c r="BKB15" s="42"/>
      <c r="BKC15" s="42"/>
      <c r="BKD15" s="42"/>
      <c r="BKE15" s="42"/>
      <c r="BKF15" s="42"/>
      <c r="BKG15" s="42"/>
      <c r="BKH15" s="42"/>
      <c r="BKI15" s="42"/>
      <c r="BKJ15" s="42"/>
      <c r="BKK15" s="42"/>
      <c r="BKL15" s="42"/>
      <c r="BKM15" s="42"/>
      <c r="BKN15" s="42"/>
      <c r="BKO15" s="42"/>
      <c r="BKP15" s="42"/>
      <c r="BKQ15" s="42"/>
      <c r="BKR15" s="42"/>
      <c r="BKS15" s="42"/>
      <c r="BKT15" s="42"/>
      <c r="BKU15" s="42"/>
      <c r="BKV15" s="42"/>
      <c r="BKW15" s="42"/>
      <c r="BKX15" s="42"/>
      <c r="BKY15" s="42"/>
      <c r="BKZ15" s="42"/>
      <c r="BLA15" s="42"/>
      <c r="BLB15" s="42"/>
      <c r="BLC15" s="42"/>
      <c r="BLD15" s="42"/>
      <c r="BLE15" s="42"/>
      <c r="BLF15" s="42"/>
      <c r="BLG15" s="42"/>
      <c r="BLH15" s="42"/>
      <c r="BLI15" s="42"/>
      <c r="BLJ15" s="42"/>
      <c r="BLK15" s="42"/>
      <c r="BLL15" s="42"/>
      <c r="BLM15" s="42"/>
      <c r="BLN15" s="42"/>
      <c r="BLO15" s="42"/>
      <c r="BLP15" s="42"/>
      <c r="BLQ15" s="42"/>
      <c r="BLR15" s="42"/>
      <c r="BLS15" s="42"/>
      <c r="BLT15" s="42"/>
      <c r="BLU15" s="42"/>
      <c r="BLV15" s="42"/>
      <c r="BLW15" s="42"/>
      <c r="BLX15" s="42"/>
      <c r="BLY15" s="42"/>
      <c r="BLZ15" s="42"/>
      <c r="BMA15" s="42"/>
      <c r="BMB15" s="42"/>
      <c r="BMC15" s="42"/>
      <c r="BMD15" s="42"/>
      <c r="BME15" s="42"/>
      <c r="BMF15" s="42"/>
      <c r="BMG15" s="42"/>
      <c r="BMH15" s="42"/>
      <c r="BMI15" s="42"/>
      <c r="BMJ15" s="42"/>
      <c r="BMK15" s="42"/>
      <c r="BML15" s="42"/>
      <c r="BMM15" s="42"/>
      <c r="BMN15" s="42"/>
      <c r="BMO15" s="42"/>
      <c r="BMP15" s="42"/>
      <c r="BMQ15" s="42"/>
      <c r="BMR15" s="42"/>
      <c r="BMS15" s="42"/>
      <c r="BMT15" s="42"/>
      <c r="BMU15" s="42"/>
      <c r="BMV15" s="42"/>
      <c r="BMW15" s="42"/>
      <c r="BMX15" s="42"/>
      <c r="BMY15" s="42"/>
      <c r="BMZ15" s="42"/>
      <c r="BNA15" s="42"/>
      <c r="BNB15" s="42"/>
      <c r="BNC15" s="42"/>
      <c r="BND15" s="42"/>
      <c r="BNE15" s="42"/>
      <c r="BNF15" s="42"/>
      <c r="BNG15" s="42"/>
      <c r="BNH15" s="42"/>
      <c r="BNI15" s="42"/>
      <c r="BNJ15" s="42"/>
      <c r="BNK15" s="42"/>
      <c r="BNL15" s="42"/>
      <c r="BNM15" s="42"/>
      <c r="BNN15" s="42"/>
      <c r="BNO15" s="42"/>
      <c r="BNP15" s="42"/>
      <c r="BNQ15" s="42"/>
      <c r="BNR15" s="42"/>
      <c r="BNS15" s="42"/>
      <c r="BNT15" s="42"/>
      <c r="BNU15" s="42"/>
      <c r="BNV15" s="42"/>
      <c r="BNW15" s="42"/>
      <c r="BNX15" s="42"/>
      <c r="BNY15" s="42"/>
      <c r="BNZ15" s="42"/>
      <c r="BOA15" s="42"/>
      <c r="BOB15" s="42"/>
      <c r="BOC15" s="42"/>
      <c r="BOD15" s="42"/>
      <c r="BOE15" s="42"/>
      <c r="BOF15" s="42"/>
      <c r="BOG15" s="42"/>
      <c r="BOH15" s="42"/>
      <c r="BOI15" s="42"/>
      <c r="BOJ15" s="42"/>
      <c r="BOK15" s="42"/>
      <c r="BOL15" s="42"/>
      <c r="BOM15" s="42"/>
      <c r="BON15" s="42"/>
      <c r="BOO15" s="42"/>
      <c r="BOP15" s="42"/>
      <c r="BOQ15" s="42"/>
      <c r="BOR15" s="42"/>
      <c r="BOS15" s="42"/>
      <c r="BOT15" s="42"/>
      <c r="BOU15" s="42"/>
      <c r="BOV15" s="42"/>
      <c r="BOW15" s="42"/>
      <c r="BOX15" s="42"/>
      <c r="BOY15" s="42"/>
      <c r="BOZ15" s="42"/>
      <c r="BPA15" s="42"/>
      <c r="BPB15" s="42"/>
      <c r="BPC15" s="42"/>
      <c r="BPD15" s="42"/>
      <c r="BPE15" s="42"/>
      <c r="BPF15" s="42"/>
      <c r="BPG15" s="42"/>
      <c r="BPH15" s="42"/>
      <c r="BPI15" s="42"/>
      <c r="BPJ15" s="42"/>
      <c r="BPK15" s="42"/>
      <c r="BPL15" s="42"/>
      <c r="BPM15" s="42"/>
      <c r="BPN15" s="42"/>
      <c r="BPO15" s="42"/>
      <c r="BPP15" s="42"/>
      <c r="BPQ15" s="42"/>
      <c r="BPR15" s="42"/>
      <c r="BPS15" s="42"/>
      <c r="BPT15" s="42"/>
      <c r="BPU15" s="42"/>
      <c r="BPV15" s="42"/>
      <c r="BPW15" s="42"/>
      <c r="BPX15" s="42"/>
      <c r="BPY15" s="42"/>
      <c r="BPZ15" s="42"/>
      <c r="BQA15" s="42"/>
      <c r="BQB15" s="42"/>
      <c r="BQC15" s="42"/>
      <c r="BQD15" s="42"/>
      <c r="BQE15" s="42"/>
      <c r="BQF15" s="42"/>
      <c r="BQG15" s="42"/>
      <c r="BQH15" s="42"/>
      <c r="BQI15" s="42"/>
      <c r="BQJ15" s="42"/>
      <c r="BQK15" s="42"/>
      <c r="BQL15" s="42"/>
      <c r="BQM15" s="42"/>
      <c r="BQN15" s="42"/>
      <c r="BQO15" s="42"/>
      <c r="BQP15" s="42"/>
      <c r="BQQ15" s="42"/>
      <c r="BQR15" s="42"/>
      <c r="BQS15" s="42"/>
      <c r="BQT15" s="42"/>
      <c r="BQU15" s="42"/>
      <c r="BQV15" s="42"/>
      <c r="BQW15" s="42"/>
      <c r="BQX15" s="42"/>
      <c r="BQY15" s="42"/>
      <c r="BQZ15" s="42"/>
      <c r="BRA15" s="42"/>
      <c r="BRB15" s="42"/>
      <c r="BRC15" s="42"/>
      <c r="BRD15" s="42"/>
      <c r="BRE15" s="42"/>
      <c r="BRF15" s="42"/>
      <c r="BRG15" s="42"/>
      <c r="BRH15" s="42"/>
      <c r="BRI15" s="42"/>
      <c r="BRJ15" s="42"/>
      <c r="BRK15" s="42"/>
      <c r="BRL15" s="42"/>
      <c r="BRM15" s="42"/>
      <c r="BRN15" s="42"/>
      <c r="BRO15" s="42"/>
      <c r="BRP15" s="42"/>
      <c r="BRQ15" s="42"/>
      <c r="BRR15" s="42"/>
      <c r="BRS15" s="42"/>
      <c r="BRT15" s="42"/>
      <c r="BRU15" s="42"/>
      <c r="BRV15" s="42"/>
      <c r="BRW15" s="42"/>
      <c r="BRX15" s="42"/>
      <c r="BRY15" s="42"/>
      <c r="BRZ15" s="42"/>
      <c r="BSA15" s="42"/>
      <c r="BSB15" s="42"/>
      <c r="BSC15" s="42"/>
      <c r="BSD15" s="42"/>
    </row>
    <row r="16" spans="1:1850" s="43" customFormat="1" ht="15" hidden="1" customHeight="1" outlineLevel="1">
      <c r="A16" s="32" t="s">
        <v>8</v>
      </c>
      <c r="B16" s="44"/>
      <c r="C16" s="34">
        <f>D15+1</f>
        <v>41552</v>
      </c>
      <c r="D16" s="35">
        <f>C16+15</f>
        <v>41567</v>
      </c>
      <c r="E16" s="36" t="str">
        <f>(ROUNDUP(D16-C16,0)+1) &amp; " days"</f>
        <v>16 days</v>
      </c>
      <c r="F16" s="37"/>
      <c r="G16" s="38"/>
      <c r="H16" s="38"/>
      <c r="I16" s="38"/>
      <c r="J16" s="38"/>
      <c r="K16" s="38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41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  <c r="FI16" s="42"/>
      <c r="FJ16" s="42"/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  <c r="FY16" s="42"/>
      <c r="FZ16" s="42"/>
      <c r="GA16" s="42"/>
      <c r="GB16" s="42"/>
      <c r="GC16" s="42"/>
      <c r="GD16" s="42"/>
      <c r="GE16" s="42"/>
      <c r="GF16" s="42"/>
      <c r="GG16" s="42"/>
      <c r="GH16" s="42"/>
      <c r="GI16" s="42"/>
      <c r="GJ16" s="42"/>
      <c r="GK16" s="42"/>
      <c r="GL16" s="42"/>
      <c r="GM16" s="42"/>
      <c r="GN16" s="42"/>
      <c r="GO16" s="42"/>
      <c r="GP16" s="42"/>
      <c r="GQ16" s="42"/>
      <c r="GR16" s="42"/>
      <c r="GS16" s="42"/>
      <c r="GT16" s="42"/>
      <c r="GU16" s="42"/>
      <c r="GV16" s="42"/>
      <c r="GW16" s="42"/>
      <c r="GX16" s="42"/>
      <c r="GY16" s="42"/>
      <c r="GZ16" s="42"/>
      <c r="HA16" s="42"/>
      <c r="HB16" s="42"/>
      <c r="HC16" s="42"/>
      <c r="HD16" s="42"/>
      <c r="HE16" s="42"/>
      <c r="HF16" s="42"/>
      <c r="HG16" s="42"/>
      <c r="HH16" s="42"/>
      <c r="HI16" s="42"/>
      <c r="HJ16" s="42"/>
      <c r="HK16" s="42"/>
      <c r="HL16" s="42"/>
      <c r="HM16" s="42"/>
      <c r="HN16" s="42"/>
      <c r="HO16" s="42"/>
      <c r="HP16" s="42"/>
      <c r="HQ16" s="42"/>
      <c r="HR16" s="42"/>
      <c r="HS16" s="42"/>
      <c r="HT16" s="42"/>
      <c r="HU16" s="42"/>
      <c r="HV16" s="42"/>
      <c r="HW16" s="42"/>
      <c r="HX16" s="42"/>
      <c r="HY16" s="42"/>
      <c r="HZ16" s="42"/>
      <c r="IA16" s="42"/>
      <c r="IB16" s="42"/>
      <c r="IC16" s="42"/>
      <c r="ID16" s="42"/>
      <c r="IE16" s="42"/>
      <c r="IF16" s="42"/>
      <c r="IG16" s="42"/>
      <c r="IH16" s="42"/>
      <c r="II16" s="42"/>
      <c r="IJ16" s="42"/>
      <c r="IK16" s="42"/>
      <c r="IL16" s="42"/>
      <c r="IM16" s="42"/>
      <c r="IN16" s="42"/>
      <c r="IO16" s="42"/>
      <c r="IP16" s="42"/>
      <c r="IQ16" s="42"/>
      <c r="IR16" s="42"/>
      <c r="IS16" s="42"/>
      <c r="IT16" s="42"/>
      <c r="IU16" s="42"/>
      <c r="IV16" s="42"/>
      <c r="IW16" s="42"/>
      <c r="IX16" s="42"/>
      <c r="IY16" s="42"/>
      <c r="IZ16" s="42"/>
      <c r="JA16" s="42"/>
      <c r="JB16" s="42"/>
      <c r="JC16" s="42"/>
      <c r="JD16" s="42"/>
      <c r="JE16" s="42"/>
      <c r="JF16" s="42"/>
      <c r="JG16" s="42"/>
      <c r="JH16" s="42"/>
      <c r="JI16" s="42"/>
      <c r="JJ16" s="42"/>
      <c r="JK16" s="42"/>
      <c r="JL16" s="42"/>
      <c r="JM16" s="42"/>
      <c r="JN16" s="42"/>
      <c r="JO16" s="42"/>
      <c r="JP16" s="42"/>
      <c r="JQ16" s="42"/>
      <c r="JR16" s="42"/>
      <c r="JS16" s="42"/>
      <c r="JT16" s="42"/>
      <c r="JU16" s="42"/>
      <c r="JV16" s="42"/>
      <c r="JW16" s="42"/>
      <c r="JX16" s="42"/>
      <c r="JY16" s="42"/>
      <c r="JZ16" s="42"/>
      <c r="KA16" s="42"/>
      <c r="KB16" s="42"/>
      <c r="KC16" s="42"/>
      <c r="KD16" s="42"/>
      <c r="KE16" s="42"/>
      <c r="KF16" s="42"/>
      <c r="KG16" s="42"/>
      <c r="KH16" s="42"/>
      <c r="KI16" s="42"/>
      <c r="KJ16" s="42"/>
      <c r="KK16" s="42"/>
      <c r="KL16" s="42"/>
      <c r="KM16" s="42"/>
      <c r="KN16" s="42"/>
      <c r="KO16" s="42"/>
      <c r="KP16" s="42"/>
      <c r="KQ16" s="42"/>
      <c r="KR16" s="42"/>
      <c r="KS16" s="42"/>
      <c r="KT16" s="42"/>
      <c r="KU16" s="42"/>
      <c r="KV16" s="42"/>
      <c r="KW16" s="42"/>
      <c r="KX16" s="42"/>
      <c r="KY16" s="42"/>
      <c r="KZ16" s="42"/>
      <c r="LA16" s="42"/>
      <c r="LB16" s="42"/>
      <c r="LC16" s="42"/>
      <c r="LD16" s="42"/>
      <c r="LE16" s="42"/>
      <c r="LF16" s="42"/>
      <c r="LG16" s="42"/>
      <c r="LH16" s="42"/>
      <c r="LI16" s="42"/>
      <c r="LJ16" s="42"/>
      <c r="LK16" s="42"/>
      <c r="LL16" s="42"/>
      <c r="LM16" s="42"/>
      <c r="LN16" s="42"/>
      <c r="LO16" s="42"/>
      <c r="LP16" s="42"/>
      <c r="LQ16" s="42"/>
      <c r="LR16" s="42"/>
      <c r="LS16" s="42"/>
      <c r="LT16" s="42"/>
      <c r="LU16" s="42"/>
      <c r="LV16" s="42"/>
      <c r="LW16" s="42"/>
      <c r="LX16" s="42"/>
      <c r="LY16" s="42"/>
      <c r="LZ16" s="42"/>
      <c r="MA16" s="42"/>
      <c r="MB16" s="42"/>
      <c r="MC16" s="42"/>
      <c r="MD16" s="42"/>
      <c r="ME16" s="42"/>
      <c r="MF16" s="42"/>
      <c r="MG16" s="42"/>
      <c r="MH16" s="42"/>
      <c r="MI16" s="42"/>
      <c r="MJ16" s="42"/>
      <c r="MK16" s="42"/>
      <c r="ML16" s="42"/>
      <c r="MM16" s="42"/>
      <c r="MN16" s="42"/>
      <c r="MO16" s="42"/>
      <c r="MP16" s="42"/>
      <c r="MQ16" s="42"/>
      <c r="MR16" s="42"/>
      <c r="MS16" s="42"/>
      <c r="MT16" s="42"/>
      <c r="MU16" s="42"/>
      <c r="MV16" s="42"/>
      <c r="MW16" s="42"/>
      <c r="MX16" s="42"/>
      <c r="MY16" s="42"/>
      <c r="MZ16" s="42"/>
      <c r="NA16" s="42"/>
      <c r="NB16" s="42"/>
      <c r="NC16" s="42"/>
      <c r="ND16" s="42"/>
      <c r="NE16" s="42"/>
      <c r="NF16" s="42"/>
      <c r="NG16" s="42"/>
      <c r="NH16" s="42"/>
      <c r="NI16" s="42"/>
      <c r="NJ16" s="42"/>
      <c r="NK16" s="42"/>
      <c r="NL16" s="42"/>
      <c r="NM16" s="42"/>
      <c r="NN16" s="42"/>
      <c r="NO16" s="42"/>
      <c r="NP16" s="42"/>
      <c r="NQ16" s="42"/>
      <c r="NR16" s="42"/>
      <c r="NS16" s="42"/>
      <c r="NT16" s="42"/>
      <c r="NU16" s="42"/>
      <c r="NV16" s="42"/>
      <c r="NW16" s="42"/>
      <c r="NX16" s="42"/>
      <c r="NY16" s="42"/>
      <c r="NZ16" s="42"/>
      <c r="OA16" s="42"/>
      <c r="OB16" s="42"/>
      <c r="OC16" s="42"/>
      <c r="OD16" s="42"/>
      <c r="OE16" s="42"/>
      <c r="OF16" s="42"/>
      <c r="OG16" s="42"/>
      <c r="OH16" s="42"/>
      <c r="OI16" s="42"/>
      <c r="OJ16" s="42"/>
      <c r="OK16" s="42"/>
      <c r="OL16" s="42"/>
      <c r="OM16" s="42"/>
      <c r="ON16" s="42"/>
      <c r="OO16" s="42"/>
      <c r="OP16" s="42"/>
      <c r="OQ16" s="42"/>
      <c r="OR16" s="42"/>
      <c r="OS16" s="42"/>
      <c r="OT16" s="42"/>
      <c r="OU16" s="42"/>
      <c r="OV16" s="42"/>
      <c r="OW16" s="42"/>
      <c r="OX16" s="42"/>
      <c r="OY16" s="42"/>
      <c r="OZ16" s="42"/>
      <c r="PA16" s="42"/>
      <c r="PB16" s="42"/>
      <c r="PC16" s="42"/>
      <c r="PD16" s="42"/>
      <c r="PE16" s="42"/>
      <c r="PF16" s="42"/>
      <c r="PG16" s="42"/>
      <c r="PH16" s="42"/>
      <c r="PI16" s="42"/>
      <c r="PJ16" s="42"/>
      <c r="PK16" s="42"/>
      <c r="PL16" s="42"/>
      <c r="PM16" s="42"/>
      <c r="PN16" s="42"/>
      <c r="PO16" s="42"/>
      <c r="PP16" s="42"/>
      <c r="PQ16" s="42"/>
      <c r="PR16" s="42"/>
      <c r="PS16" s="42"/>
      <c r="PT16" s="42"/>
      <c r="PU16" s="42"/>
      <c r="PV16" s="42"/>
      <c r="PW16" s="42"/>
      <c r="PX16" s="42"/>
      <c r="PY16" s="42"/>
      <c r="PZ16" s="42"/>
      <c r="QA16" s="42"/>
      <c r="QB16" s="42"/>
      <c r="QC16" s="42"/>
      <c r="QD16" s="42"/>
      <c r="QE16" s="42"/>
      <c r="QF16" s="42"/>
      <c r="QG16" s="42"/>
      <c r="QH16" s="42"/>
      <c r="QI16" s="42"/>
      <c r="QJ16" s="42"/>
      <c r="QK16" s="42"/>
      <c r="QL16" s="42"/>
      <c r="QM16" s="42"/>
      <c r="QN16" s="42"/>
      <c r="QO16" s="42"/>
      <c r="QP16" s="42"/>
      <c r="QQ16" s="42"/>
      <c r="QR16" s="42"/>
      <c r="QS16" s="42"/>
      <c r="QT16" s="42"/>
      <c r="QU16" s="42"/>
      <c r="QV16" s="42"/>
      <c r="QW16" s="42"/>
      <c r="QX16" s="42"/>
      <c r="QY16" s="42"/>
      <c r="QZ16" s="42"/>
      <c r="RA16" s="42"/>
      <c r="RB16" s="42"/>
      <c r="RC16" s="42"/>
      <c r="RD16" s="42"/>
      <c r="RE16" s="42"/>
      <c r="RF16" s="42"/>
      <c r="RG16" s="42"/>
      <c r="RH16" s="42"/>
      <c r="RI16" s="42"/>
      <c r="RJ16" s="42"/>
      <c r="RK16" s="42"/>
      <c r="RL16" s="42"/>
      <c r="RM16" s="42"/>
      <c r="RN16" s="42"/>
      <c r="RO16" s="42"/>
      <c r="RP16" s="42"/>
      <c r="RQ16" s="42"/>
      <c r="RR16" s="42"/>
      <c r="RS16" s="42"/>
      <c r="RT16" s="42"/>
      <c r="RU16" s="42"/>
      <c r="RV16" s="42"/>
      <c r="RW16" s="42"/>
      <c r="RX16" s="42"/>
      <c r="RY16" s="42"/>
      <c r="RZ16" s="42"/>
      <c r="SA16" s="42"/>
      <c r="SB16" s="42"/>
      <c r="SC16" s="42"/>
      <c r="SD16" s="42"/>
      <c r="SE16" s="42"/>
      <c r="SF16" s="42"/>
      <c r="SG16" s="42"/>
      <c r="SH16" s="42"/>
      <c r="SI16" s="42"/>
      <c r="SJ16" s="42"/>
      <c r="SK16" s="42"/>
      <c r="SL16" s="42"/>
      <c r="SM16" s="42"/>
      <c r="SN16" s="42"/>
      <c r="SO16" s="42"/>
      <c r="SP16" s="42"/>
      <c r="SQ16" s="42"/>
      <c r="SR16" s="42"/>
      <c r="SS16" s="42"/>
      <c r="ST16" s="42"/>
      <c r="SU16" s="42"/>
      <c r="SV16" s="42"/>
      <c r="SW16" s="42"/>
      <c r="SX16" s="42"/>
      <c r="SY16" s="42"/>
      <c r="SZ16" s="42"/>
      <c r="TA16" s="42"/>
      <c r="TB16" s="42"/>
      <c r="TC16" s="42"/>
      <c r="TD16" s="42"/>
      <c r="TE16" s="42"/>
      <c r="TF16" s="42"/>
      <c r="TG16" s="42"/>
      <c r="TH16" s="42"/>
      <c r="TI16" s="42"/>
      <c r="TJ16" s="42"/>
      <c r="TK16" s="42"/>
      <c r="TL16" s="42"/>
      <c r="TM16" s="42"/>
      <c r="TN16" s="42"/>
      <c r="TO16" s="42"/>
      <c r="TP16" s="42"/>
      <c r="TQ16" s="42"/>
      <c r="TR16" s="42"/>
      <c r="TS16" s="42"/>
      <c r="TT16" s="42"/>
      <c r="TU16" s="42"/>
      <c r="TV16" s="42"/>
      <c r="TW16" s="42"/>
      <c r="TX16" s="42"/>
      <c r="TY16" s="42"/>
      <c r="TZ16" s="42"/>
      <c r="UA16" s="42"/>
      <c r="UB16" s="42"/>
      <c r="UC16" s="42"/>
      <c r="UD16" s="42"/>
      <c r="UE16" s="42"/>
      <c r="UF16" s="42"/>
      <c r="UG16" s="42"/>
      <c r="UH16" s="42"/>
      <c r="UI16" s="42"/>
      <c r="UJ16" s="42"/>
      <c r="UK16" s="42"/>
      <c r="UL16" s="42"/>
      <c r="UM16" s="42"/>
      <c r="UN16" s="42"/>
      <c r="UO16" s="42"/>
      <c r="UP16" s="42"/>
      <c r="UQ16" s="42"/>
      <c r="UR16" s="42"/>
      <c r="US16" s="42"/>
      <c r="UT16" s="42"/>
      <c r="UU16" s="42"/>
      <c r="UV16" s="42"/>
      <c r="UW16" s="42"/>
      <c r="UX16" s="42"/>
      <c r="UY16" s="42"/>
      <c r="UZ16" s="42"/>
      <c r="VA16" s="42"/>
      <c r="VB16" s="42"/>
      <c r="VC16" s="42"/>
      <c r="VD16" s="42"/>
      <c r="VE16" s="42"/>
      <c r="VF16" s="42"/>
      <c r="VG16" s="42"/>
      <c r="VH16" s="42"/>
      <c r="VI16" s="42"/>
      <c r="VJ16" s="42"/>
      <c r="VK16" s="42"/>
      <c r="VL16" s="42"/>
      <c r="VM16" s="42"/>
      <c r="VN16" s="42"/>
      <c r="VO16" s="42"/>
      <c r="VP16" s="42"/>
      <c r="VQ16" s="42"/>
      <c r="VR16" s="42"/>
      <c r="VS16" s="42"/>
      <c r="VT16" s="42"/>
      <c r="VU16" s="42"/>
      <c r="VV16" s="42"/>
      <c r="VW16" s="42"/>
      <c r="VX16" s="42"/>
      <c r="VY16" s="42"/>
      <c r="VZ16" s="42"/>
      <c r="WA16" s="42"/>
      <c r="WB16" s="42"/>
      <c r="WC16" s="42"/>
      <c r="WD16" s="42"/>
      <c r="WE16" s="42"/>
      <c r="WF16" s="42"/>
      <c r="WG16" s="42"/>
      <c r="WH16" s="42"/>
      <c r="WI16" s="42"/>
      <c r="WJ16" s="42"/>
      <c r="WK16" s="42"/>
      <c r="WL16" s="42"/>
      <c r="WM16" s="42"/>
      <c r="WN16" s="42"/>
      <c r="WO16" s="42"/>
      <c r="WP16" s="42"/>
      <c r="WQ16" s="42"/>
      <c r="WR16" s="42"/>
      <c r="WS16" s="42"/>
      <c r="WT16" s="42"/>
      <c r="WU16" s="42"/>
      <c r="WV16" s="42"/>
      <c r="WW16" s="42"/>
      <c r="WX16" s="42"/>
      <c r="WY16" s="42"/>
      <c r="WZ16" s="42"/>
      <c r="XA16" s="42"/>
      <c r="XB16" s="42"/>
      <c r="XC16" s="42"/>
      <c r="XD16" s="42"/>
      <c r="XE16" s="42"/>
      <c r="XF16" s="42"/>
      <c r="XG16" s="42"/>
      <c r="XH16" s="42"/>
      <c r="XI16" s="42"/>
      <c r="XJ16" s="42"/>
      <c r="XK16" s="42"/>
      <c r="XL16" s="42"/>
      <c r="XM16" s="42"/>
      <c r="XN16" s="42"/>
      <c r="XO16" s="42"/>
      <c r="XP16" s="42"/>
      <c r="XQ16" s="42"/>
      <c r="XR16" s="42"/>
      <c r="XS16" s="42"/>
      <c r="XT16" s="42"/>
      <c r="XU16" s="42"/>
      <c r="XV16" s="42"/>
      <c r="XW16" s="42"/>
      <c r="XX16" s="42"/>
      <c r="XY16" s="42"/>
      <c r="XZ16" s="42"/>
      <c r="YA16" s="42"/>
      <c r="YB16" s="42"/>
      <c r="YC16" s="42"/>
      <c r="YD16" s="42"/>
      <c r="YE16" s="42"/>
      <c r="YF16" s="42"/>
      <c r="YG16" s="42"/>
      <c r="YH16" s="42"/>
      <c r="YI16" s="42"/>
      <c r="YJ16" s="42"/>
      <c r="YK16" s="42"/>
      <c r="YL16" s="42"/>
      <c r="YM16" s="42"/>
      <c r="YN16" s="42"/>
      <c r="YO16" s="42"/>
      <c r="YP16" s="42"/>
      <c r="YQ16" s="42"/>
      <c r="YR16" s="42"/>
      <c r="YS16" s="42"/>
      <c r="YT16" s="42"/>
      <c r="YU16" s="42"/>
      <c r="YV16" s="42"/>
      <c r="YW16" s="42"/>
      <c r="YX16" s="42"/>
      <c r="YY16" s="42"/>
      <c r="YZ16" s="42"/>
      <c r="ZA16" s="42"/>
      <c r="ZB16" s="42"/>
      <c r="ZC16" s="42"/>
      <c r="ZD16" s="42"/>
      <c r="ZE16" s="42"/>
      <c r="ZF16" s="42"/>
      <c r="ZG16" s="42"/>
      <c r="ZH16" s="42"/>
      <c r="ZI16" s="42"/>
      <c r="ZJ16" s="42"/>
      <c r="ZK16" s="42"/>
      <c r="ZL16" s="42"/>
      <c r="ZM16" s="42"/>
      <c r="ZN16" s="42"/>
      <c r="ZO16" s="42"/>
      <c r="ZP16" s="42"/>
      <c r="ZQ16" s="42"/>
      <c r="ZR16" s="42"/>
      <c r="ZS16" s="42"/>
      <c r="ZT16" s="42"/>
      <c r="ZU16" s="42"/>
      <c r="ZV16" s="42"/>
      <c r="ZW16" s="42"/>
      <c r="ZX16" s="42"/>
      <c r="ZY16" s="42"/>
      <c r="ZZ16" s="42"/>
      <c r="AAA16" s="42"/>
      <c r="AAB16" s="42"/>
      <c r="AAC16" s="42"/>
      <c r="AAD16" s="42"/>
      <c r="AAE16" s="42"/>
      <c r="AAF16" s="42"/>
      <c r="AAG16" s="42"/>
      <c r="AAH16" s="42"/>
      <c r="AAI16" s="42"/>
      <c r="AAJ16" s="42"/>
      <c r="AAK16" s="42"/>
      <c r="AAL16" s="42"/>
      <c r="AAM16" s="42"/>
      <c r="AAN16" s="42"/>
      <c r="AAO16" s="42"/>
      <c r="AAP16" s="42"/>
      <c r="AAQ16" s="42"/>
      <c r="AAR16" s="42"/>
      <c r="AAS16" s="42"/>
      <c r="AAT16" s="42"/>
      <c r="AAU16" s="42"/>
      <c r="AAV16" s="42"/>
      <c r="AAW16" s="42"/>
      <c r="AAX16" s="42"/>
      <c r="AAY16" s="42"/>
      <c r="AAZ16" s="42"/>
      <c r="ABA16" s="42"/>
      <c r="ABB16" s="42"/>
      <c r="ABC16" s="42"/>
      <c r="ABD16" s="42"/>
      <c r="ABE16" s="42"/>
      <c r="ABF16" s="42"/>
      <c r="ABG16" s="42"/>
      <c r="ABH16" s="42"/>
      <c r="ABI16" s="42"/>
      <c r="ABJ16" s="42"/>
      <c r="ABK16" s="42"/>
      <c r="ABL16" s="42"/>
      <c r="ABM16" s="42"/>
      <c r="ABN16" s="42"/>
      <c r="ABO16" s="42"/>
      <c r="ABP16" s="42"/>
      <c r="ABQ16" s="42"/>
      <c r="ABR16" s="42"/>
      <c r="ABS16" s="42"/>
      <c r="ABT16" s="42"/>
      <c r="ABU16" s="42"/>
      <c r="ABV16" s="42"/>
      <c r="ABW16" s="42"/>
      <c r="ABX16" s="42"/>
      <c r="ABY16" s="42"/>
      <c r="ABZ16" s="42"/>
      <c r="ACA16" s="42"/>
      <c r="ACB16" s="42"/>
      <c r="ACC16" s="42"/>
      <c r="ACD16" s="42"/>
      <c r="ACE16" s="42"/>
      <c r="ACF16" s="42"/>
      <c r="ACG16" s="42"/>
      <c r="ACH16" s="42"/>
      <c r="ACI16" s="42"/>
      <c r="ACJ16" s="42"/>
      <c r="ACK16" s="42"/>
      <c r="ACL16" s="42"/>
      <c r="ACM16" s="42"/>
      <c r="ACN16" s="42"/>
      <c r="ACO16" s="42"/>
      <c r="ACP16" s="42"/>
      <c r="ACQ16" s="42"/>
      <c r="ACR16" s="42"/>
      <c r="ACS16" s="42"/>
      <c r="ACT16" s="42"/>
      <c r="ACU16" s="42"/>
      <c r="ACV16" s="42"/>
      <c r="ACW16" s="42"/>
      <c r="ACX16" s="42"/>
      <c r="ACY16" s="42"/>
      <c r="ACZ16" s="42"/>
      <c r="ADA16" s="42"/>
      <c r="ADB16" s="42"/>
      <c r="ADC16" s="42"/>
      <c r="ADD16" s="42"/>
      <c r="ADE16" s="42"/>
      <c r="ADF16" s="42"/>
      <c r="ADG16" s="42"/>
      <c r="ADH16" s="42"/>
      <c r="ADI16" s="42"/>
      <c r="ADJ16" s="42"/>
      <c r="ADK16" s="42"/>
      <c r="ADL16" s="42"/>
      <c r="ADM16" s="42"/>
      <c r="ADN16" s="42"/>
      <c r="ADO16" s="42"/>
      <c r="ADP16" s="42"/>
      <c r="ADQ16" s="42"/>
      <c r="ADR16" s="42"/>
      <c r="ADS16" s="42"/>
      <c r="ADT16" s="42"/>
      <c r="ADU16" s="42"/>
      <c r="ADV16" s="42"/>
      <c r="ADW16" s="42"/>
      <c r="ADX16" s="42"/>
      <c r="ADY16" s="42"/>
      <c r="ADZ16" s="42"/>
      <c r="AEA16" s="42"/>
      <c r="AEB16" s="42"/>
      <c r="AEC16" s="42"/>
      <c r="AED16" s="42"/>
      <c r="AEE16" s="42"/>
      <c r="AEF16" s="42"/>
      <c r="AEG16" s="42"/>
      <c r="AEH16" s="42"/>
      <c r="AEI16" s="42"/>
      <c r="AEJ16" s="42"/>
      <c r="AEK16" s="42"/>
      <c r="AEL16" s="42"/>
      <c r="AEM16" s="42"/>
      <c r="AEN16" s="42"/>
      <c r="AEO16" s="42"/>
      <c r="AEP16" s="42"/>
      <c r="AEQ16" s="42"/>
      <c r="AER16" s="42"/>
      <c r="AES16" s="42"/>
      <c r="AET16" s="42"/>
      <c r="AEU16" s="42"/>
      <c r="AEV16" s="42"/>
      <c r="AEW16" s="42"/>
      <c r="AEX16" s="42"/>
      <c r="AEY16" s="42"/>
      <c r="AEZ16" s="42"/>
      <c r="AFA16" s="42"/>
      <c r="AFB16" s="42"/>
      <c r="AFC16" s="42"/>
      <c r="AFD16" s="42"/>
      <c r="AFE16" s="42"/>
      <c r="AFF16" s="42"/>
      <c r="AFG16" s="42"/>
      <c r="AFH16" s="42"/>
      <c r="AFI16" s="42"/>
      <c r="AFJ16" s="42"/>
      <c r="AFK16" s="42"/>
      <c r="AFL16" s="42"/>
      <c r="AFM16" s="42"/>
      <c r="AFN16" s="42"/>
      <c r="AFO16" s="42"/>
      <c r="AFP16" s="42"/>
      <c r="AFQ16" s="42"/>
      <c r="AFR16" s="42"/>
      <c r="AFS16" s="42"/>
      <c r="AFT16" s="42"/>
      <c r="AFU16" s="42"/>
      <c r="AFV16" s="42"/>
      <c r="AFW16" s="42"/>
      <c r="AFX16" s="42"/>
      <c r="AFY16" s="42"/>
      <c r="AFZ16" s="42"/>
      <c r="AGA16" s="42"/>
      <c r="AGB16" s="42"/>
      <c r="AGC16" s="42"/>
      <c r="AGD16" s="42"/>
      <c r="AGE16" s="42"/>
      <c r="AGF16" s="42"/>
      <c r="AGG16" s="42"/>
      <c r="AGH16" s="42"/>
      <c r="AGI16" s="42"/>
      <c r="AGJ16" s="42"/>
      <c r="AGK16" s="42"/>
      <c r="AGL16" s="42"/>
      <c r="AGM16" s="42"/>
      <c r="AGN16" s="42"/>
      <c r="AGO16" s="42"/>
      <c r="AGP16" s="42"/>
      <c r="AGQ16" s="42"/>
      <c r="AGR16" s="42"/>
      <c r="AGS16" s="42"/>
      <c r="AGT16" s="42"/>
      <c r="AGU16" s="42"/>
      <c r="AGV16" s="42"/>
      <c r="AGW16" s="42"/>
      <c r="AGX16" s="42"/>
      <c r="AGY16" s="42"/>
      <c r="AGZ16" s="42"/>
      <c r="AHA16" s="42"/>
      <c r="AHB16" s="42"/>
      <c r="AHC16" s="42"/>
      <c r="AHD16" s="42"/>
      <c r="AHE16" s="42"/>
      <c r="AHF16" s="42"/>
      <c r="AHG16" s="42"/>
      <c r="AHH16" s="42"/>
      <c r="AHI16" s="42"/>
      <c r="AHJ16" s="42"/>
      <c r="AHK16" s="42"/>
      <c r="AHL16" s="42"/>
      <c r="AHM16" s="42"/>
      <c r="AHN16" s="42"/>
      <c r="AHO16" s="42"/>
      <c r="AHP16" s="42"/>
      <c r="AHQ16" s="42"/>
      <c r="AHR16" s="42"/>
      <c r="AHS16" s="42"/>
      <c r="AHT16" s="42"/>
      <c r="AHU16" s="42"/>
      <c r="AHV16" s="42"/>
      <c r="AHW16" s="42"/>
      <c r="AHX16" s="42"/>
      <c r="AHY16" s="42"/>
      <c r="AHZ16" s="42"/>
      <c r="AIA16" s="42"/>
      <c r="AIB16" s="42"/>
      <c r="AIC16" s="42"/>
      <c r="AID16" s="42"/>
      <c r="AIE16" s="42"/>
      <c r="AIF16" s="42"/>
      <c r="AIG16" s="42"/>
      <c r="AIH16" s="42"/>
      <c r="AII16" s="42"/>
      <c r="AIJ16" s="42"/>
      <c r="AIK16" s="42"/>
      <c r="AIL16" s="42"/>
      <c r="AIM16" s="42"/>
      <c r="AIN16" s="42"/>
      <c r="AIO16" s="42"/>
      <c r="AIP16" s="42"/>
      <c r="AIQ16" s="42"/>
      <c r="AIR16" s="42"/>
      <c r="AIS16" s="42"/>
      <c r="AIT16" s="42"/>
      <c r="AIU16" s="42"/>
      <c r="AIV16" s="42"/>
      <c r="AIW16" s="42"/>
      <c r="AIX16" s="42"/>
      <c r="AIY16" s="42"/>
      <c r="AIZ16" s="42"/>
      <c r="AJA16" s="42"/>
      <c r="AJB16" s="42"/>
      <c r="AJC16" s="42"/>
      <c r="AJD16" s="42"/>
      <c r="AJE16" s="42"/>
      <c r="AJF16" s="42"/>
      <c r="AJG16" s="42"/>
      <c r="AJH16" s="42"/>
      <c r="AJI16" s="42"/>
      <c r="AJJ16" s="42"/>
      <c r="AJK16" s="42"/>
      <c r="AJL16" s="42"/>
      <c r="AJM16" s="42"/>
      <c r="AJN16" s="42"/>
      <c r="AJO16" s="42"/>
      <c r="AJP16" s="42"/>
      <c r="AJQ16" s="42"/>
      <c r="AJR16" s="42"/>
      <c r="AJS16" s="42"/>
      <c r="AJT16" s="42"/>
      <c r="AJU16" s="42"/>
      <c r="AJV16" s="42"/>
      <c r="AJW16" s="42"/>
      <c r="AJX16" s="42"/>
      <c r="AJY16" s="42"/>
      <c r="AJZ16" s="42"/>
      <c r="AKA16" s="42"/>
      <c r="AKB16" s="42"/>
      <c r="AKC16" s="42"/>
      <c r="AKD16" s="42"/>
      <c r="AKE16" s="42"/>
      <c r="AKF16" s="42"/>
      <c r="AKG16" s="42"/>
      <c r="AKH16" s="42"/>
      <c r="AKI16" s="42"/>
      <c r="AKJ16" s="42"/>
      <c r="AKK16" s="42"/>
      <c r="AKL16" s="42"/>
      <c r="AKM16" s="42"/>
      <c r="AKN16" s="42"/>
      <c r="AKO16" s="42"/>
      <c r="AKP16" s="42"/>
      <c r="AKQ16" s="42"/>
      <c r="AKR16" s="42"/>
      <c r="AKS16" s="42"/>
      <c r="AKT16" s="42"/>
      <c r="AKU16" s="42"/>
      <c r="AKV16" s="42"/>
      <c r="AKW16" s="42"/>
      <c r="AKX16" s="42"/>
      <c r="AKY16" s="42"/>
      <c r="AKZ16" s="42"/>
      <c r="ALA16" s="42"/>
      <c r="ALB16" s="42"/>
      <c r="ALC16" s="42"/>
      <c r="ALD16" s="42"/>
      <c r="ALE16" s="42"/>
      <c r="ALF16" s="42"/>
      <c r="ALG16" s="42"/>
      <c r="ALH16" s="42"/>
      <c r="ALI16" s="42"/>
      <c r="ALJ16" s="42"/>
      <c r="ALK16" s="42"/>
      <c r="ALL16" s="42"/>
      <c r="ALM16" s="42"/>
      <c r="ALN16" s="42"/>
      <c r="ALO16" s="42"/>
      <c r="ALP16" s="42"/>
      <c r="ALQ16" s="42"/>
      <c r="ALR16" s="42"/>
      <c r="ALS16" s="42"/>
      <c r="ALT16" s="42"/>
      <c r="ALU16" s="42"/>
      <c r="ALV16" s="42"/>
      <c r="ALW16" s="42"/>
      <c r="ALX16" s="42"/>
      <c r="ALY16" s="42"/>
      <c r="ALZ16" s="42"/>
      <c r="AMA16" s="42"/>
      <c r="AMB16" s="42"/>
      <c r="AMC16" s="42"/>
      <c r="AMD16" s="42"/>
      <c r="AME16" s="42"/>
      <c r="AMF16" s="42"/>
      <c r="AMG16" s="42"/>
      <c r="AMH16" s="42"/>
      <c r="AMI16" s="42"/>
      <c r="AMJ16" s="42"/>
      <c r="AMK16" s="42"/>
      <c r="AML16" s="42"/>
      <c r="AMM16" s="42"/>
      <c r="AMN16" s="42"/>
      <c r="AMO16" s="42"/>
      <c r="AMP16" s="42"/>
      <c r="AMQ16" s="42"/>
      <c r="AMR16" s="42"/>
      <c r="AMS16" s="42"/>
      <c r="AMT16" s="42"/>
      <c r="AMU16" s="42"/>
      <c r="AMV16" s="42"/>
      <c r="AMW16" s="42"/>
      <c r="AMX16" s="42"/>
      <c r="AMY16" s="42"/>
      <c r="AMZ16" s="42"/>
      <c r="ANA16" s="42"/>
      <c r="ANB16" s="42"/>
      <c r="ANC16" s="42"/>
      <c r="AND16" s="42"/>
      <c r="ANE16" s="42"/>
      <c r="ANF16" s="42"/>
      <c r="ANG16" s="42"/>
      <c r="ANH16" s="42"/>
      <c r="ANI16" s="42"/>
      <c r="ANJ16" s="42"/>
      <c r="ANK16" s="42"/>
      <c r="ANL16" s="42"/>
      <c r="ANM16" s="42"/>
      <c r="ANN16" s="42"/>
      <c r="ANO16" s="42"/>
      <c r="ANP16" s="42"/>
      <c r="ANQ16" s="42"/>
      <c r="ANR16" s="42"/>
      <c r="ANS16" s="42"/>
      <c r="ANT16" s="42"/>
      <c r="ANU16" s="42"/>
      <c r="ANV16" s="42"/>
      <c r="ANW16" s="42"/>
      <c r="ANX16" s="42"/>
      <c r="ANY16" s="42"/>
      <c r="ANZ16" s="42"/>
      <c r="AOA16" s="42"/>
      <c r="AOB16" s="42"/>
      <c r="AOC16" s="42"/>
      <c r="AOD16" s="42"/>
      <c r="AOE16" s="42"/>
      <c r="AOF16" s="42"/>
      <c r="AOG16" s="42"/>
      <c r="AOH16" s="42"/>
      <c r="AOI16" s="42"/>
      <c r="AOJ16" s="42"/>
      <c r="AOK16" s="42"/>
      <c r="AOL16" s="42"/>
      <c r="AOM16" s="42"/>
      <c r="AON16" s="42"/>
      <c r="AOO16" s="42"/>
      <c r="AOP16" s="42"/>
      <c r="AOQ16" s="42"/>
      <c r="AOR16" s="42"/>
      <c r="AOS16" s="42"/>
      <c r="AOT16" s="42"/>
      <c r="AOU16" s="42"/>
      <c r="AOV16" s="42"/>
      <c r="AOW16" s="42"/>
      <c r="AOX16" s="42"/>
      <c r="AOY16" s="42"/>
      <c r="AOZ16" s="42"/>
      <c r="APA16" s="42"/>
      <c r="APB16" s="42"/>
      <c r="APC16" s="42"/>
      <c r="APD16" s="42"/>
      <c r="APE16" s="42"/>
      <c r="APF16" s="42"/>
      <c r="APG16" s="42"/>
      <c r="APH16" s="42"/>
      <c r="API16" s="42"/>
      <c r="APJ16" s="42"/>
      <c r="APK16" s="42"/>
      <c r="APL16" s="42"/>
      <c r="APM16" s="42"/>
      <c r="APN16" s="42"/>
      <c r="APO16" s="42"/>
      <c r="APP16" s="42"/>
      <c r="APQ16" s="42"/>
      <c r="APR16" s="42"/>
      <c r="APS16" s="42"/>
      <c r="APT16" s="42"/>
      <c r="APU16" s="42"/>
      <c r="APV16" s="42"/>
      <c r="APW16" s="42"/>
      <c r="APX16" s="42"/>
      <c r="APY16" s="42"/>
      <c r="APZ16" s="42"/>
      <c r="AQA16" s="42"/>
      <c r="AQB16" s="42"/>
      <c r="AQC16" s="42"/>
      <c r="AQD16" s="42"/>
      <c r="AQE16" s="42"/>
      <c r="AQF16" s="42"/>
      <c r="AQG16" s="42"/>
      <c r="AQH16" s="42"/>
      <c r="AQI16" s="42"/>
      <c r="AQJ16" s="42"/>
      <c r="AQK16" s="42"/>
      <c r="AQL16" s="42"/>
      <c r="AQM16" s="42"/>
      <c r="AQN16" s="42"/>
      <c r="AQO16" s="42"/>
      <c r="AQP16" s="42"/>
      <c r="AQQ16" s="42"/>
      <c r="AQR16" s="42"/>
      <c r="AQS16" s="42"/>
      <c r="AQT16" s="42"/>
      <c r="AQU16" s="42"/>
      <c r="AQV16" s="42"/>
      <c r="AQW16" s="42"/>
      <c r="AQX16" s="42"/>
      <c r="AQY16" s="42"/>
      <c r="AQZ16" s="42"/>
      <c r="ARA16" s="42"/>
      <c r="ARB16" s="42"/>
      <c r="ARC16" s="42"/>
      <c r="ARD16" s="42"/>
      <c r="ARE16" s="42"/>
      <c r="ARF16" s="42"/>
      <c r="ARG16" s="42"/>
      <c r="ARH16" s="42"/>
      <c r="ARI16" s="42"/>
      <c r="ARJ16" s="42"/>
      <c r="ARK16" s="42"/>
      <c r="ARL16" s="42"/>
      <c r="ARM16" s="42"/>
      <c r="ARN16" s="42"/>
      <c r="ARO16" s="42"/>
      <c r="ARP16" s="42"/>
      <c r="ARQ16" s="42"/>
      <c r="ARR16" s="42"/>
      <c r="ARS16" s="42"/>
      <c r="ART16" s="42"/>
      <c r="ARU16" s="42"/>
      <c r="ARV16" s="42"/>
      <c r="ARW16" s="42"/>
      <c r="ARX16" s="42"/>
      <c r="ARY16" s="42"/>
      <c r="ARZ16" s="42"/>
      <c r="ASA16" s="42"/>
      <c r="ASB16" s="42"/>
      <c r="ASC16" s="42"/>
      <c r="ASD16" s="42"/>
      <c r="ASE16" s="42"/>
      <c r="ASF16" s="42"/>
      <c r="ASG16" s="42"/>
      <c r="ASH16" s="42"/>
      <c r="ASI16" s="42"/>
      <c r="ASJ16" s="42"/>
      <c r="ASK16" s="42"/>
      <c r="ASL16" s="42"/>
      <c r="ASM16" s="42"/>
      <c r="ASN16" s="42"/>
      <c r="ASO16" s="42"/>
      <c r="ASP16" s="42"/>
      <c r="ASQ16" s="42"/>
      <c r="ASR16" s="42"/>
      <c r="ASS16" s="42"/>
      <c r="AST16" s="42"/>
      <c r="ASU16" s="42"/>
      <c r="ASV16" s="42"/>
      <c r="ASW16" s="42"/>
      <c r="ASX16" s="42"/>
      <c r="ASY16" s="42"/>
      <c r="ASZ16" s="42"/>
      <c r="ATA16" s="42"/>
      <c r="ATB16" s="42"/>
      <c r="ATC16" s="42"/>
      <c r="ATD16" s="42"/>
      <c r="ATE16" s="42"/>
      <c r="ATF16" s="42"/>
      <c r="ATG16" s="42"/>
      <c r="ATH16" s="42"/>
      <c r="ATI16" s="42"/>
      <c r="ATJ16" s="42"/>
      <c r="ATK16" s="42"/>
      <c r="ATL16" s="42"/>
      <c r="ATM16" s="42"/>
      <c r="ATN16" s="42"/>
      <c r="ATO16" s="42"/>
      <c r="ATP16" s="42"/>
      <c r="ATQ16" s="42"/>
      <c r="ATR16" s="42"/>
      <c r="ATS16" s="42"/>
      <c r="ATT16" s="42"/>
      <c r="ATU16" s="42"/>
      <c r="ATV16" s="42"/>
      <c r="ATW16" s="42"/>
      <c r="ATX16" s="42"/>
      <c r="ATY16" s="42"/>
      <c r="ATZ16" s="42"/>
      <c r="AUA16" s="42"/>
      <c r="AUB16" s="42"/>
      <c r="AUC16" s="42"/>
      <c r="AUD16" s="42"/>
      <c r="AUE16" s="42"/>
      <c r="AUF16" s="42"/>
      <c r="AUG16" s="42"/>
      <c r="AUH16" s="42"/>
      <c r="AUI16" s="42"/>
      <c r="AUJ16" s="42"/>
      <c r="AUK16" s="42"/>
      <c r="AUL16" s="42"/>
      <c r="AUM16" s="42"/>
      <c r="AUN16" s="42"/>
      <c r="AUO16" s="42"/>
      <c r="AUP16" s="42"/>
      <c r="AUQ16" s="42"/>
      <c r="AUR16" s="42"/>
      <c r="AUS16" s="42"/>
      <c r="AUT16" s="42"/>
      <c r="AUU16" s="42"/>
      <c r="AUV16" s="42"/>
      <c r="AUW16" s="42"/>
      <c r="AUX16" s="42"/>
      <c r="AUY16" s="42"/>
      <c r="AUZ16" s="42"/>
      <c r="AVA16" s="42"/>
      <c r="AVB16" s="42"/>
      <c r="AVC16" s="42"/>
      <c r="AVD16" s="42"/>
      <c r="AVE16" s="42"/>
      <c r="AVF16" s="42"/>
      <c r="AVG16" s="42"/>
      <c r="AVH16" s="42"/>
      <c r="AVI16" s="42"/>
      <c r="AVJ16" s="42"/>
      <c r="AVK16" s="42"/>
      <c r="AVL16" s="42"/>
      <c r="AVM16" s="42"/>
      <c r="AVN16" s="42"/>
      <c r="AVO16" s="42"/>
      <c r="AVP16" s="42"/>
      <c r="AVQ16" s="42"/>
      <c r="AVR16" s="42"/>
      <c r="AVS16" s="42"/>
      <c r="AVT16" s="42"/>
      <c r="AVU16" s="42"/>
      <c r="AVV16" s="42"/>
      <c r="AVW16" s="42"/>
      <c r="AVX16" s="42"/>
      <c r="AVY16" s="42"/>
      <c r="AVZ16" s="42"/>
      <c r="AWA16" s="42"/>
      <c r="AWB16" s="42"/>
      <c r="AWC16" s="42"/>
      <c r="AWD16" s="42"/>
      <c r="AWE16" s="42"/>
      <c r="AWF16" s="42"/>
      <c r="AWG16" s="42"/>
      <c r="AWH16" s="42"/>
      <c r="AWI16" s="42"/>
      <c r="AWJ16" s="42"/>
      <c r="AWK16" s="42"/>
      <c r="AWL16" s="42"/>
      <c r="AWM16" s="42"/>
      <c r="AWN16" s="42"/>
      <c r="AWO16" s="42"/>
      <c r="AWP16" s="42"/>
      <c r="AWQ16" s="42"/>
      <c r="AWR16" s="42"/>
      <c r="AWS16" s="42"/>
      <c r="AWT16" s="42"/>
      <c r="AWU16" s="42"/>
      <c r="AWV16" s="42"/>
      <c r="AWW16" s="42"/>
      <c r="AWX16" s="42"/>
      <c r="AWY16" s="42"/>
      <c r="AWZ16" s="42"/>
      <c r="AXA16" s="42"/>
      <c r="AXB16" s="42"/>
      <c r="AXC16" s="42"/>
      <c r="AXD16" s="42"/>
      <c r="AXE16" s="42"/>
      <c r="AXF16" s="42"/>
      <c r="AXG16" s="42"/>
      <c r="AXH16" s="42"/>
      <c r="AXI16" s="42"/>
      <c r="AXJ16" s="42"/>
      <c r="AXK16" s="42"/>
      <c r="AXL16" s="42"/>
      <c r="AXM16" s="42"/>
      <c r="AXN16" s="42"/>
      <c r="AXO16" s="42"/>
      <c r="AXP16" s="42"/>
      <c r="AXQ16" s="42"/>
      <c r="AXR16" s="42"/>
      <c r="AXS16" s="42"/>
      <c r="AXT16" s="42"/>
      <c r="AXU16" s="42"/>
      <c r="AXV16" s="42"/>
      <c r="AXW16" s="42"/>
      <c r="AXX16" s="42"/>
      <c r="AXY16" s="42"/>
      <c r="AXZ16" s="42"/>
      <c r="AYA16" s="42"/>
      <c r="AYB16" s="42"/>
      <c r="AYC16" s="42"/>
      <c r="AYD16" s="42"/>
      <c r="AYE16" s="42"/>
      <c r="AYF16" s="42"/>
      <c r="AYG16" s="42"/>
      <c r="AYH16" s="42"/>
      <c r="AYI16" s="42"/>
      <c r="AYJ16" s="42"/>
      <c r="AYK16" s="42"/>
      <c r="AYL16" s="42"/>
      <c r="AYM16" s="42"/>
      <c r="AYN16" s="42"/>
      <c r="AYO16" s="42"/>
      <c r="AYP16" s="42"/>
      <c r="AYQ16" s="42"/>
      <c r="AYR16" s="42"/>
      <c r="AYS16" s="42"/>
      <c r="AYT16" s="42"/>
      <c r="AYU16" s="42"/>
      <c r="AYV16" s="42"/>
      <c r="AYW16" s="42"/>
      <c r="AYX16" s="42"/>
      <c r="AYY16" s="42"/>
      <c r="AYZ16" s="42"/>
      <c r="AZA16" s="42"/>
      <c r="AZB16" s="42"/>
      <c r="AZC16" s="42"/>
      <c r="AZD16" s="42"/>
      <c r="AZE16" s="42"/>
      <c r="AZF16" s="42"/>
      <c r="AZG16" s="42"/>
      <c r="AZH16" s="42"/>
      <c r="AZI16" s="42"/>
      <c r="AZJ16" s="42"/>
      <c r="AZK16" s="42"/>
      <c r="AZL16" s="42"/>
      <c r="AZM16" s="42"/>
      <c r="AZN16" s="42"/>
      <c r="AZO16" s="42"/>
      <c r="AZP16" s="42"/>
      <c r="AZQ16" s="42"/>
      <c r="AZR16" s="42"/>
      <c r="AZS16" s="42"/>
      <c r="AZT16" s="42"/>
      <c r="AZU16" s="42"/>
      <c r="AZV16" s="42"/>
      <c r="AZW16" s="42"/>
      <c r="AZX16" s="42"/>
      <c r="AZY16" s="42"/>
      <c r="AZZ16" s="42"/>
      <c r="BAA16" s="42"/>
      <c r="BAB16" s="42"/>
      <c r="BAC16" s="42"/>
      <c r="BAD16" s="42"/>
      <c r="BAE16" s="42"/>
      <c r="BAF16" s="42"/>
      <c r="BAG16" s="42"/>
      <c r="BAH16" s="42"/>
      <c r="BAI16" s="42"/>
      <c r="BAJ16" s="42"/>
      <c r="BAK16" s="42"/>
      <c r="BAL16" s="42"/>
      <c r="BAM16" s="42"/>
      <c r="BAN16" s="42"/>
      <c r="BAO16" s="42"/>
      <c r="BAP16" s="42"/>
      <c r="BAQ16" s="42"/>
      <c r="BAR16" s="42"/>
      <c r="BAS16" s="42"/>
      <c r="BAT16" s="42"/>
      <c r="BAU16" s="42"/>
      <c r="BAV16" s="42"/>
      <c r="BAW16" s="42"/>
      <c r="BAX16" s="42"/>
      <c r="BAY16" s="42"/>
      <c r="BAZ16" s="42"/>
      <c r="BBA16" s="42"/>
      <c r="BBB16" s="42"/>
      <c r="BBC16" s="42"/>
      <c r="BBD16" s="42"/>
      <c r="BBE16" s="42"/>
      <c r="BBF16" s="42"/>
      <c r="BBG16" s="42"/>
      <c r="BBH16" s="42"/>
      <c r="BBI16" s="42"/>
      <c r="BBJ16" s="42"/>
      <c r="BBK16" s="42"/>
      <c r="BBL16" s="42"/>
      <c r="BBM16" s="42"/>
      <c r="BBN16" s="42"/>
      <c r="BBO16" s="42"/>
      <c r="BBP16" s="42"/>
      <c r="BBQ16" s="42"/>
      <c r="BBR16" s="42"/>
      <c r="BBS16" s="42"/>
      <c r="BBT16" s="42"/>
      <c r="BBU16" s="42"/>
      <c r="BBV16" s="42"/>
      <c r="BBW16" s="42"/>
      <c r="BBX16" s="42"/>
      <c r="BBY16" s="42"/>
      <c r="BBZ16" s="42"/>
      <c r="BCA16" s="42"/>
      <c r="BCB16" s="42"/>
      <c r="BCC16" s="42"/>
      <c r="BCD16" s="42"/>
      <c r="BCE16" s="42"/>
      <c r="BCF16" s="42"/>
      <c r="BCG16" s="42"/>
      <c r="BCH16" s="42"/>
      <c r="BCI16" s="42"/>
      <c r="BCJ16" s="42"/>
      <c r="BCK16" s="42"/>
      <c r="BCL16" s="42"/>
      <c r="BCM16" s="42"/>
      <c r="BCN16" s="42"/>
      <c r="BCO16" s="42"/>
      <c r="BCP16" s="42"/>
      <c r="BCQ16" s="42"/>
      <c r="BCR16" s="42"/>
      <c r="BCS16" s="42"/>
      <c r="BCT16" s="42"/>
      <c r="BCU16" s="42"/>
      <c r="BCV16" s="42"/>
      <c r="BCW16" s="42"/>
      <c r="BCX16" s="42"/>
      <c r="BCY16" s="42"/>
      <c r="BCZ16" s="42"/>
      <c r="BDA16" s="42"/>
      <c r="BDB16" s="42"/>
      <c r="BDC16" s="42"/>
      <c r="BDD16" s="42"/>
      <c r="BDE16" s="42"/>
      <c r="BDF16" s="42"/>
      <c r="BDG16" s="42"/>
      <c r="BDH16" s="42"/>
      <c r="BDI16" s="42"/>
      <c r="BDJ16" s="42"/>
      <c r="BDK16" s="42"/>
      <c r="BDL16" s="42"/>
      <c r="BDM16" s="42"/>
      <c r="BDN16" s="42"/>
      <c r="BDO16" s="42"/>
      <c r="BDP16" s="42"/>
      <c r="BDQ16" s="42"/>
      <c r="BDR16" s="42"/>
      <c r="BDS16" s="42"/>
      <c r="BDT16" s="42"/>
      <c r="BDU16" s="42"/>
      <c r="BDV16" s="42"/>
      <c r="BDW16" s="42"/>
      <c r="BDX16" s="42"/>
      <c r="BDY16" s="42"/>
      <c r="BDZ16" s="42"/>
      <c r="BEA16" s="42"/>
      <c r="BEB16" s="42"/>
      <c r="BEC16" s="42"/>
      <c r="BED16" s="42"/>
      <c r="BEE16" s="42"/>
      <c r="BEF16" s="42"/>
      <c r="BEG16" s="42"/>
      <c r="BEH16" s="42"/>
      <c r="BEI16" s="42"/>
      <c r="BEJ16" s="42"/>
      <c r="BEK16" s="42"/>
      <c r="BEL16" s="42"/>
      <c r="BEM16" s="42"/>
      <c r="BEN16" s="42"/>
      <c r="BEO16" s="42"/>
      <c r="BEP16" s="42"/>
      <c r="BEQ16" s="42"/>
      <c r="BER16" s="42"/>
      <c r="BES16" s="42"/>
      <c r="BET16" s="42"/>
      <c r="BEU16" s="42"/>
      <c r="BEV16" s="42"/>
      <c r="BEW16" s="42"/>
      <c r="BEX16" s="42"/>
      <c r="BEY16" s="42"/>
      <c r="BEZ16" s="42"/>
      <c r="BFA16" s="42"/>
      <c r="BFB16" s="42"/>
      <c r="BFC16" s="42"/>
      <c r="BFD16" s="42"/>
      <c r="BFE16" s="42"/>
      <c r="BFF16" s="42"/>
      <c r="BFG16" s="42"/>
      <c r="BFH16" s="42"/>
      <c r="BFI16" s="42"/>
      <c r="BFJ16" s="42"/>
      <c r="BFK16" s="42"/>
      <c r="BFL16" s="42"/>
      <c r="BFM16" s="42"/>
      <c r="BFN16" s="42"/>
      <c r="BFO16" s="42"/>
      <c r="BFP16" s="42"/>
      <c r="BFQ16" s="42"/>
      <c r="BFR16" s="42"/>
      <c r="BFS16" s="42"/>
      <c r="BFT16" s="42"/>
      <c r="BFU16" s="42"/>
      <c r="BFV16" s="42"/>
      <c r="BFW16" s="42"/>
      <c r="BFX16" s="42"/>
      <c r="BFY16" s="42"/>
      <c r="BFZ16" s="42"/>
      <c r="BGA16" s="42"/>
      <c r="BGB16" s="42"/>
      <c r="BGC16" s="42"/>
      <c r="BGD16" s="42"/>
      <c r="BGE16" s="42"/>
      <c r="BGF16" s="42"/>
      <c r="BGG16" s="42"/>
      <c r="BGH16" s="42"/>
      <c r="BGI16" s="42"/>
      <c r="BGJ16" s="42"/>
      <c r="BGK16" s="42"/>
      <c r="BGL16" s="42"/>
      <c r="BGM16" s="42"/>
      <c r="BGN16" s="42"/>
      <c r="BGO16" s="42"/>
      <c r="BGP16" s="42"/>
      <c r="BGQ16" s="42"/>
      <c r="BGR16" s="42"/>
      <c r="BGS16" s="42"/>
      <c r="BGT16" s="42"/>
      <c r="BGU16" s="42"/>
      <c r="BGV16" s="42"/>
      <c r="BGW16" s="42"/>
      <c r="BGX16" s="42"/>
      <c r="BGY16" s="42"/>
      <c r="BGZ16" s="42"/>
      <c r="BHA16" s="42"/>
      <c r="BHB16" s="42"/>
      <c r="BHC16" s="42"/>
      <c r="BHD16" s="42"/>
      <c r="BHE16" s="42"/>
      <c r="BHF16" s="42"/>
      <c r="BHG16" s="42"/>
      <c r="BHH16" s="42"/>
      <c r="BHI16" s="42"/>
      <c r="BHJ16" s="42"/>
      <c r="BHK16" s="42"/>
      <c r="BHL16" s="42"/>
      <c r="BHM16" s="42"/>
      <c r="BHN16" s="42"/>
      <c r="BHO16" s="42"/>
      <c r="BHP16" s="42"/>
      <c r="BHQ16" s="42"/>
      <c r="BHR16" s="42"/>
      <c r="BHS16" s="42"/>
      <c r="BHT16" s="42"/>
      <c r="BHU16" s="42"/>
      <c r="BHV16" s="42"/>
      <c r="BHW16" s="42"/>
      <c r="BHX16" s="42"/>
      <c r="BHY16" s="42"/>
      <c r="BHZ16" s="42"/>
      <c r="BIA16" s="42"/>
      <c r="BIB16" s="42"/>
      <c r="BIC16" s="42"/>
      <c r="BID16" s="42"/>
      <c r="BIE16" s="42"/>
      <c r="BIF16" s="42"/>
      <c r="BIG16" s="42"/>
      <c r="BIH16" s="42"/>
      <c r="BII16" s="42"/>
      <c r="BIJ16" s="42"/>
      <c r="BIK16" s="42"/>
      <c r="BIL16" s="42"/>
      <c r="BIM16" s="42"/>
      <c r="BIN16" s="42"/>
      <c r="BIO16" s="42"/>
      <c r="BIP16" s="42"/>
      <c r="BIQ16" s="42"/>
      <c r="BIR16" s="42"/>
      <c r="BIS16" s="42"/>
      <c r="BIT16" s="42"/>
      <c r="BIU16" s="42"/>
      <c r="BIV16" s="42"/>
      <c r="BIW16" s="42"/>
      <c r="BIX16" s="42"/>
      <c r="BIY16" s="42"/>
      <c r="BIZ16" s="42"/>
      <c r="BJA16" s="42"/>
      <c r="BJB16" s="42"/>
      <c r="BJC16" s="42"/>
      <c r="BJD16" s="42"/>
      <c r="BJE16" s="42"/>
      <c r="BJF16" s="42"/>
      <c r="BJG16" s="42"/>
      <c r="BJH16" s="42"/>
      <c r="BJI16" s="42"/>
      <c r="BJJ16" s="42"/>
      <c r="BJK16" s="42"/>
      <c r="BJL16" s="42"/>
      <c r="BJM16" s="42"/>
      <c r="BJN16" s="42"/>
      <c r="BJO16" s="42"/>
      <c r="BJP16" s="42"/>
      <c r="BJQ16" s="42"/>
      <c r="BJR16" s="42"/>
      <c r="BJS16" s="42"/>
      <c r="BJT16" s="42"/>
      <c r="BJU16" s="42"/>
      <c r="BJV16" s="42"/>
      <c r="BJW16" s="42"/>
      <c r="BJX16" s="42"/>
      <c r="BJY16" s="42"/>
      <c r="BJZ16" s="42"/>
      <c r="BKA16" s="42"/>
      <c r="BKB16" s="42"/>
      <c r="BKC16" s="42"/>
      <c r="BKD16" s="42"/>
      <c r="BKE16" s="42"/>
      <c r="BKF16" s="42"/>
      <c r="BKG16" s="42"/>
      <c r="BKH16" s="42"/>
      <c r="BKI16" s="42"/>
      <c r="BKJ16" s="42"/>
      <c r="BKK16" s="42"/>
      <c r="BKL16" s="42"/>
      <c r="BKM16" s="42"/>
      <c r="BKN16" s="42"/>
      <c r="BKO16" s="42"/>
      <c r="BKP16" s="42"/>
      <c r="BKQ16" s="42"/>
      <c r="BKR16" s="42"/>
      <c r="BKS16" s="42"/>
      <c r="BKT16" s="42"/>
      <c r="BKU16" s="42"/>
      <c r="BKV16" s="42"/>
      <c r="BKW16" s="42"/>
      <c r="BKX16" s="42"/>
      <c r="BKY16" s="42"/>
      <c r="BKZ16" s="42"/>
      <c r="BLA16" s="42"/>
      <c r="BLB16" s="42"/>
      <c r="BLC16" s="42"/>
      <c r="BLD16" s="42"/>
      <c r="BLE16" s="42"/>
      <c r="BLF16" s="42"/>
      <c r="BLG16" s="42"/>
      <c r="BLH16" s="42"/>
      <c r="BLI16" s="42"/>
      <c r="BLJ16" s="42"/>
      <c r="BLK16" s="42"/>
      <c r="BLL16" s="42"/>
      <c r="BLM16" s="42"/>
      <c r="BLN16" s="42"/>
      <c r="BLO16" s="42"/>
      <c r="BLP16" s="42"/>
      <c r="BLQ16" s="42"/>
      <c r="BLR16" s="42"/>
      <c r="BLS16" s="42"/>
      <c r="BLT16" s="42"/>
      <c r="BLU16" s="42"/>
      <c r="BLV16" s="42"/>
      <c r="BLW16" s="42"/>
      <c r="BLX16" s="42"/>
      <c r="BLY16" s="42"/>
      <c r="BLZ16" s="42"/>
      <c r="BMA16" s="42"/>
      <c r="BMB16" s="42"/>
      <c r="BMC16" s="42"/>
      <c r="BMD16" s="42"/>
      <c r="BME16" s="42"/>
      <c r="BMF16" s="42"/>
      <c r="BMG16" s="42"/>
      <c r="BMH16" s="42"/>
      <c r="BMI16" s="42"/>
      <c r="BMJ16" s="42"/>
      <c r="BMK16" s="42"/>
      <c r="BML16" s="42"/>
      <c r="BMM16" s="42"/>
      <c r="BMN16" s="42"/>
      <c r="BMO16" s="42"/>
      <c r="BMP16" s="42"/>
      <c r="BMQ16" s="42"/>
      <c r="BMR16" s="42"/>
      <c r="BMS16" s="42"/>
      <c r="BMT16" s="42"/>
      <c r="BMU16" s="42"/>
      <c r="BMV16" s="42"/>
      <c r="BMW16" s="42"/>
      <c r="BMX16" s="42"/>
      <c r="BMY16" s="42"/>
      <c r="BMZ16" s="42"/>
      <c r="BNA16" s="42"/>
      <c r="BNB16" s="42"/>
      <c r="BNC16" s="42"/>
      <c r="BND16" s="42"/>
      <c r="BNE16" s="42"/>
      <c r="BNF16" s="42"/>
      <c r="BNG16" s="42"/>
      <c r="BNH16" s="42"/>
      <c r="BNI16" s="42"/>
      <c r="BNJ16" s="42"/>
      <c r="BNK16" s="42"/>
      <c r="BNL16" s="42"/>
      <c r="BNM16" s="42"/>
      <c r="BNN16" s="42"/>
      <c r="BNO16" s="42"/>
      <c r="BNP16" s="42"/>
      <c r="BNQ16" s="42"/>
      <c r="BNR16" s="42"/>
      <c r="BNS16" s="42"/>
      <c r="BNT16" s="42"/>
      <c r="BNU16" s="42"/>
      <c r="BNV16" s="42"/>
      <c r="BNW16" s="42"/>
      <c r="BNX16" s="42"/>
      <c r="BNY16" s="42"/>
      <c r="BNZ16" s="42"/>
      <c r="BOA16" s="42"/>
      <c r="BOB16" s="42"/>
      <c r="BOC16" s="42"/>
      <c r="BOD16" s="42"/>
      <c r="BOE16" s="42"/>
      <c r="BOF16" s="42"/>
      <c r="BOG16" s="42"/>
      <c r="BOH16" s="42"/>
      <c r="BOI16" s="42"/>
      <c r="BOJ16" s="42"/>
      <c r="BOK16" s="42"/>
      <c r="BOL16" s="42"/>
      <c r="BOM16" s="42"/>
      <c r="BON16" s="42"/>
      <c r="BOO16" s="42"/>
      <c r="BOP16" s="42"/>
      <c r="BOQ16" s="42"/>
      <c r="BOR16" s="42"/>
      <c r="BOS16" s="42"/>
      <c r="BOT16" s="42"/>
      <c r="BOU16" s="42"/>
      <c r="BOV16" s="42"/>
      <c r="BOW16" s="42"/>
      <c r="BOX16" s="42"/>
      <c r="BOY16" s="42"/>
      <c r="BOZ16" s="42"/>
      <c r="BPA16" s="42"/>
      <c r="BPB16" s="42"/>
      <c r="BPC16" s="42"/>
      <c r="BPD16" s="42"/>
      <c r="BPE16" s="42"/>
      <c r="BPF16" s="42"/>
      <c r="BPG16" s="42"/>
      <c r="BPH16" s="42"/>
      <c r="BPI16" s="42"/>
      <c r="BPJ16" s="42"/>
      <c r="BPK16" s="42"/>
      <c r="BPL16" s="42"/>
      <c r="BPM16" s="42"/>
      <c r="BPN16" s="42"/>
      <c r="BPO16" s="42"/>
      <c r="BPP16" s="42"/>
      <c r="BPQ16" s="42"/>
      <c r="BPR16" s="42"/>
      <c r="BPS16" s="42"/>
      <c r="BPT16" s="42"/>
      <c r="BPU16" s="42"/>
      <c r="BPV16" s="42"/>
      <c r="BPW16" s="42"/>
      <c r="BPX16" s="42"/>
      <c r="BPY16" s="42"/>
      <c r="BPZ16" s="42"/>
      <c r="BQA16" s="42"/>
      <c r="BQB16" s="42"/>
      <c r="BQC16" s="42"/>
      <c r="BQD16" s="42"/>
      <c r="BQE16" s="42"/>
      <c r="BQF16" s="42"/>
      <c r="BQG16" s="42"/>
      <c r="BQH16" s="42"/>
      <c r="BQI16" s="42"/>
      <c r="BQJ16" s="42"/>
      <c r="BQK16" s="42"/>
      <c r="BQL16" s="42"/>
      <c r="BQM16" s="42"/>
      <c r="BQN16" s="42"/>
      <c r="BQO16" s="42"/>
      <c r="BQP16" s="42"/>
      <c r="BQQ16" s="42"/>
      <c r="BQR16" s="42"/>
      <c r="BQS16" s="42"/>
      <c r="BQT16" s="42"/>
      <c r="BQU16" s="42"/>
      <c r="BQV16" s="42"/>
      <c r="BQW16" s="42"/>
      <c r="BQX16" s="42"/>
      <c r="BQY16" s="42"/>
      <c r="BQZ16" s="42"/>
      <c r="BRA16" s="42"/>
      <c r="BRB16" s="42"/>
      <c r="BRC16" s="42"/>
      <c r="BRD16" s="42"/>
      <c r="BRE16" s="42"/>
      <c r="BRF16" s="42"/>
      <c r="BRG16" s="42"/>
      <c r="BRH16" s="42"/>
      <c r="BRI16" s="42"/>
      <c r="BRJ16" s="42"/>
      <c r="BRK16" s="42"/>
      <c r="BRL16" s="42"/>
      <c r="BRM16" s="42"/>
      <c r="BRN16" s="42"/>
      <c r="BRO16" s="42"/>
      <c r="BRP16" s="42"/>
      <c r="BRQ16" s="42"/>
      <c r="BRR16" s="42"/>
      <c r="BRS16" s="42"/>
      <c r="BRT16" s="42"/>
      <c r="BRU16" s="42"/>
      <c r="BRV16" s="42"/>
      <c r="BRW16" s="42"/>
      <c r="BRX16" s="42"/>
      <c r="BRY16" s="42"/>
      <c r="BRZ16" s="42"/>
      <c r="BSA16" s="42"/>
      <c r="BSB16" s="42"/>
      <c r="BSC16" s="42"/>
      <c r="BSD16" s="42"/>
    </row>
    <row r="17" spans="1:1850" s="43" customFormat="1" ht="15" hidden="1" customHeight="1" outlineLevel="1">
      <c r="A17" s="32" t="s">
        <v>9</v>
      </c>
      <c r="B17" s="45"/>
      <c r="C17" s="34">
        <f>D16+1</f>
        <v>41568</v>
      </c>
      <c r="D17" s="35">
        <f>C17+1</f>
        <v>41569</v>
      </c>
      <c r="E17" s="36" t="str">
        <f t="shared" ref="E17:E20" si="1">(ROUNDUP(D17-C17,0)+1) &amp; " days"</f>
        <v>2 days</v>
      </c>
      <c r="F17" s="37"/>
      <c r="G17" s="38"/>
      <c r="H17" s="38"/>
      <c r="I17" s="38"/>
      <c r="J17" s="38"/>
      <c r="K17" s="38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40"/>
      <c r="BE17" s="40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41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  <c r="IW17" s="42"/>
      <c r="IX17" s="42"/>
      <c r="IY17" s="42"/>
      <c r="IZ17" s="42"/>
      <c r="JA17" s="42"/>
      <c r="JB17" s="42"/>
      <c r="JC17" s="42"/>
      <c r="JD17" s="42"/>
      <c r="JE17" s="42"/>
      <c r="JF17" s="42"/>
      <c r="JG17" s="42"/>
      <c r="JH17" s="42"/>
      <c r="JI17" s="42"/>
      <c r="JJ17" s="42"/>
      <c r="JK17" s="42"/>
      <c r="JL17" s="42"/>
      <c r="JM17" s="42"/>
      <c r="JN17" s="42"/>
      <c r="JO17" s="42"/>
      <c r="JP17" s="42"/>
      <c r="JQ17" s="42"/>
      <c r="JR17" s="42"/>
      <c r="JS17" s="42"/>
      <c r="JT17" s="42"/>
      <c r="JU17" s="42"/>
      <c r="JV17" s="42"/>
      <c r="JW17" s="42"/>
      <c r="JX17" s="42"/>
      <c r="JY17" s="42"/>
      <c r="JZ17" s="42"/>
      <c r="KA17" s="42"/>
      <c r="KB17" s="42"/>
      <c r="KC17" s="42"/>
      <c r="KD17" s="42"/>
      <c r="KE17" s="42"/>
      <c r="KF17" s="42"/>
      <c r="KG17" s="42"/>
      <c r="KH17" s="42"/>
      <c r="KI17" s="42"/>
      <c r="KJ17" s="42"/>
      <c r="KK17" s="42"/>
      <c r="KL17" s="42"/>
      <c r="KM17" s="42"/>
      <c r="KN17" s="42"/>
      <c r="KO17" s="42"/>
      <c r="KP17" s="42"/>
      <c r="KQ17" s="42"/>
      <c r="KR17" s="42"/>
      <c r="KS17" s="42"/>
      <c r="KT17" s="42"/>
      <c r="KU17" s="42"/>
      <c r="KV17" s="42"/>
      <c r="KW17" s="42"/>
      <c r="KX17" s="42"/>
      <c r="KY17" s="42"/>
      <c r="KZ17" s="42"/>
      <c r="LA17" s="42"/>
      <c r="LB17" s="42"/>
      <c r="LC17" s="42"/>
      <c r="LD17" s="42"/>
      <c r="LE17" s="42"/>
      <c r="LF17" s="42"/>
      <c r="LG17" s="42"/>
      <c r="LH17" s="42"/>
      <c r="LI17" s="42"/>
      <c r="LJ17" s="42"/>
      <c r="LK17" s="42"/>
      <c r="LL17" s="42"/>
      <c r="LM17" s="42"/>
      <c r="LN17" s="42"/>
      <c r="LO17" s="42"/>
      <c r="LP17" s="42"/>
      <c r="LQ17" s="42"/>
      <c r="LR17" s="42"/>
      <c r="LS17" s="42"/>
      <c r="LT17" s="42"/>
      <c r="LU17" s="42"/>
      <c r="LV17" s="42"/>
      <c r="LW17" s="42"/>
      <c r="LX17" s="42"/>
      <c r="LY17" s="42"/>
      <c r="LZ17" s="42"/>
      <c r="MA17" s="42"/>
      <c r="MB17" s="42"/>
      <c r="MC17" s="42"/>
      <c r="MD17" s="42"/>
      <c r="ME17" s="42"/>
      <c r="MF17" s="42"/>
      <c r="MG17" s="42"/>
      <c r="MH17" s="42"/>
      <c r="MI17" s="42"/>
      <c r="MJ17" s="42"/>
      <c r="MK17" s="42"/>
      <c r="ML17" s="42"/>
      <c r="MM17" s="42"/>
      <c r="MN17" s="42"/>
      <c r="MO17" s="42"/>
      <c r="MP17" s="42"/>
      <c r="MQ17" s="42"/>
      <c r="MR17" s="42"/>
      <c r="MS17" s="42"/>
      <c r="MT17" s="42"/>
      <c r="MU17" s="42"/>
      <c r="MV17" s="42"/>
      <c r="MW17" s="42"/>
      <c r="MX17" s="42"/>
      <c r="MY17" s="42"/>
      <c r="MZ17" s="42"/>
      <c r="NA17" s="42"/>
      <c r="NB17" s="42"/>
      <c r="NC17" s="42"/>
      <c r="ND17" s="42"/>
      <c r="NE17" s="42"/>
      <c r="NF17" s="42"/>
      <c r="NG17" s="42"/>
      <c r="NH17" s="42"/>
      <c r="NI17" s="42"/>
      <c r="NJ17" s="42"/>
      <c r="NK17" s="42"/>
      <c r="NL17" s="42"/>
      <c r="NM17" s="42"/>
      <c r="NN17" s="42"/>
      <c r="NO17" s="42"/>
      <c r="NP17" s="42"/>
      <c r="NQ17" s="42"/>
      <c r="NR17" s="42"/>
      <c r="NS17" s="42"/>
      <c r="NT17" s="42"/>
      <c r="NU17" s="42"/>
      <c r="NV17" s="42"/>
      <c r="NW17" s="42"/>
      <c r="NX17" s="42"/>
      <c r="NY17" s="42"/>
      <c r="NZ17" s="42"/>
      <c r="OA17" s="42"/>
      <c r="OB17" s="42"/>
      <c r="OC17" s="42"/>
      <c r="OD17" s="42"/>
      <c r="OE17" s="42"/>
      <c r="OF17" s="42"/>
      <c r="OG17" s="42"/>
      <c r="OH17" s="42"/>
      <c r="OI17" s="42"/>
      <c r="OJ17" s="42"/>
      <c r="OK17" s="42"/>
      <c r="OL17" s="42"/>
      <c r="OM17" s="42"/>
      <c r="ON17" s="42"/>
      <c r="OO17" s="42"/>
      <c r="OP17" s="42"/>
      <c r="OQ17" s="42"/>
      <c r="OR17" s="42"/>
      <c r="OS17" s="42"/>
      <c r="OT17" s="42"/>
      <c r="OU17" s="42"/>
      <c r="OV17" s="42"/>
      <c r="OW17" s="42"/>
      <c r="OX17" s="42"/>
      <c r="OY17" s="42"/>
      <c r="OZ17" s="42"/>
      <c r="PA17" s="42"/>
      <c r="PB17" s="42"/>
      <c r="PC17" s="42"/>
      <c r="PD17" s="42"/>
      <c r="PE17" s="42"/>
      <c r="PF17" s="42"/>
      <c r="PG17" s="42"/>
      <c r="PH17" s="42"/>
      <c r="PI17" s="42"/>
      <c r="PJ17" s="42"/>
      <c r="PK17" s="42"/>
      <c r="PL17" s="42"/>
      <c r="PM17" s="42"/>
      <c r="PN17" s="42"/>
      <c r="PO17" s="42"/>
      <c r="PP17" s="42"/>
      <c r="PQ17" s="42"/>
      <c r="PR17" s="42"/>
      <c r="PS17" s="42"/>
      <c r="PT17" s="42"/>
      <c r="PU17" s="42"/>
      <c r="PV17" s="42"/>
      <c r="PW17" s="42"/>
      <c r="PX17" s="42"/>
      <c r="PY17" s="42"/>
      <c r="PZ17" s="42"/>
      <c r="QA17" s="42"/>
      <c r="QB17" s="42"/>
      <c r="QC17" s="42"/>
      <c r="QD17" s="42"/>
      <c r="QE17" s="42"/>
      <c r="QF17" s="42"/>
      <c r="QG17" s="42"/>
      <c r="QH17" s="42"/>
      <c r="QI17" s="42"/>
      <c r="QJ17" s="42"/>
      <c r="QK17" s="42"/>
      <c r="QL17" s="42"/>
      <c r="QM17" s="42"/>
      <c r="QN17" s="42"/>
      <c r="QO17" s="42"/>
      <c r="QP17" s="42"/>
      <c r="QQ17" s="42"/>
      <c r="QR17" s="42"/>
      <c r="QS17" s="42"/>
      <c r="QT17" s="42"/>
      <c r="QU17" s="42"/>
      <c r="QV17" s="42"/>
      <c r="QW17" s="42"/>
      <c r="QX17" s="42"/>
      <c r="QY17" s="42"/>
      <c r="QZ17" s="42"/>
      <c r="RA17" s="42"/>
      <c r="RB17" s="42"/>
      <c r="RC17" s="42"/>
      <c r="RD17" s="42"/>
      <c r="RE17" s="42"/>
      <c r="RF17" s="42"/>
      <c r="RG17" s="42"/>
      <c r="RH17" s="42"/>
      <c r="RI17" s="42"/>
      <c r="RJ17" s="42"/>
      <c r="RK17" s="42"/>
      <c r="RL17" s="42"/>
      <c r="RM17" s="42"/>
      <c r="RN17" s="42"/>
      <c r="RO17" s="42"/>
      <c r="RP17" s="42"/>
      <c r="RQ17" s="42"/>
      <c r="RR17" s="42"/>
      <c r="RS17" s="42"/>
      <c r="RT17" s="42"/>
      <c r="RU17" s="42"/>
      <c r="RV17" s="42"/>
      <c r="RW17" s="42"/>
      <c r="RX17" s="42"/>
      <c r="RY17" s="42"/>
      <c r="RZ17" s="42"/>
      <c r="SA17" s="42"/>
      <c r="SB17" s="42"/>
      <c r="SC17" s="42"/>
      <c r="SD17" s="42"/>
      <c r="SE17" s="42"/>
      <c r="SF17" s="42"/>
      <c r="SG17" s="42"/>
      <c r="SH17" s="42"/>
      <c r="SI17" s="42"/>
      <c r="SJ17" s="42"/>
      <c r="SK17" s="42"/>
      <c r="SL17" s="42"/>
      <c r="SM17" s="42"/>
      <c r="SN17" s="42"/>
      <c r="SO17" s="42"/>
      <c r="SP17" s="42"/>
      <c r="SQ17" s="42"/>
      <c r="SR17" s="42"/>
      <c r="SS17" s="42"/>
      <c r="ST17" s="42"/>
      <c r="SU17" s="42"/>
      <c r="SV17" s="42"/>
      <c r="SW17" s="42"/>
      <c r="SX17" s="42"/>
      <c r="SY17" s="42"/>
      <c r="SZ17" s="42"/>
      <c r="TA17" s="42"/>
      <c r="TB17" s="42"/>
      <c r="TC17" s="42"/>
      <c r="TD17" s="42"/>
      <c r="TE17" s="42"/>
      <c r="TF17" s="42"/>
      <c r="TG17" s="42"/>
      <c r="TH17" s="42"/>
      <c r="TI17" s="42"/>
      <c r="TJ17" s="42"/>
      <c r="TK17" s="42"/>
      <c r="TL17" s="42"/>
      <c r="TM17" s="42"/>
      <c r="TN17" s="42"/>
      <c r="TO17" s="42"/>
      <c r="TP17" s="42"/>
      <c r="TQ17" s="42"/>
      <c r="TR17" s="42"/>
      <c r="TS17" s="42"/>
      <c r="TT17" s="42"/>
      <c r="TU17" s="42"/>
      <c r="TV17" s="42"/>
      <c r="TW17" s="42"/>
      <c r="TX17" s="42"/>
      <c r="TY17" s="42"/>
      <c r="TZ17" s="42"/>
      <c r="UA17" s="42"/>
      <c r="UB17" s="42"/>
      <c r="UC17" s="42"/>
      <c r="UD17" s="42"/>
      <c r="UE17" s="42"/>
      <c r="UF17" s="42"/>
      <c r="UG17" s="42"/>
      <c r="UH17" s="42"/>
      <c r="UI17" s="42"/>
      <c r="UJ17" s="42"/>
      <c r="UK17" s="42"/>
      <c r="UL17" s="42"/>
      <c r="UM17" s="42"/>
      <c r="UN17" s="42"/>
      <c r="UO17" s="42"/>
      <c r="UP17" s="42"/>
      <c r="UQ17" s="42"/>
      <c r="UR17" s="42"/>
      <c r="US17" s="42"/>
      <c r="UT17" s="42"/>
      <c r="UU17" s="42"/>
      <c r="UV17" s="42"/>
      <c r="UW17" s="42"/>
      <c r="UX17" s="42"/>
      <c r="UY17" s="42"/>
      <c r="UZ17" s="42"/>
      <c r="VA17" s="42"/>
      <c r="VB17" s="42"/>
      <c r="VC17" s="42"/>
      <c r="VD17" s="42"/>
      <c r="VE17" s="42"/>
      <c r="VF17" s="42"/>
      <c r="VG17" s="42"/>
      <c r="VH17" s="42"/>
      <c r="VI17" s="42"/>
      <c r="VJ17" s="42"/>
      <c r="VK17" s="42"/>
      <c r="VL17" s="42"/>
      <c r="VM17" s="42"/>
      <c r="VN17" s="42"/>
      <c r="VO17" s="42"/>
      <c r="VP17" s="42"/>
      <c r="VQ17" s="42"/>
      <c r="VR17" s="42"/>
      <c r="VS17" s="42"/>
      <c r="VT17" s="42"/>
      <c r="VU17" s="42"/>
      <c r="VV17" s="42"/>
      <c r="VW17" s="42"/>
      <c r="VX17" s="42"/>
      <c r="VY17" s="42"/>
      <c r="VZ17" s="42"/>
      <c r="WA17" s="42"/>
      <c r="WB17" s="42"/>
      <c r="WC17" s="42"/>
      <c r="WD17" s="42"/>
      <c r="WE17" s="42"/>
      <c r="WF17" s="42"/>
      <c r="WG17" s="42"/>
      <c r="WH17" s="42"/>
      <c r="WI17" s="42"/>
      <c r="WJ17" s="42"/>
      <c r="WK17" s="42"/>
      <c r="WL17" s="42"/>
      <c r="WM17" s="42"/>
      <c r="WN17" s="42"/>
      <c r="WO17" s="42"/>
      <c r="WP17" s="42"/>
      <c r="WQ17" s="42"/>
      <c r="WR17" s="42"/>
      <c r="WS17" s="42"/>
      <c r="WT17" s="42"/>
      <c r="WU17" s="42"/>
      <c r="WV17" s="42"/>
      <c r="WW17" s="42"/>
      <c r="WX17" s="42"/>
      <c r="WY17" s="42"/>
      <c r="WZ17" s="42"/>
      <c r="XA17" s="42"/>
      <c r="XB17" s="42"/>
      <c r="XC17" s="42"/>
      <c r="XD17" s="42"/>
      <c r="XE17" s="42"/>
      <c r="XF17" s="42"/>
      <c r="XG17" s="42"/>
      <c r="XH17" s="42"/>
      <c r="XI17" s="42"/>
      <c r="XJ17" s="42"/>
      <c r="XK17" s="42"/>
      <c r="XL17" s="42"/>
      <c r="XM17" s="42"/>
      <c r="XN17" s="42"/>
      <c r="XO17" s="42"/>
      <c r="XP17" s="42"/>
      <c r="XQ17" s="42"/>
      <c r="XR17" s="42"/>
      <c r="XS17" s="42"/>
      <c r="XT17" s="42"/>
      <c r="XU17" s="42"/>
      <c r="XV17" s="42"/>
      <c r="XW17" s="42"/>
      <c r="XX17" s="42"/>
      <c r="XY17" s="42"/>
      <c r="XZ17" s="42"/>
      <c r="YA17" s="42"/>
      <c r="YB17" s="42"/>
      <c r="YC17" s="42"/>
      <c r="YD17" s="42"/>
      <c r="YE17" s="42"/>
      <c r="YF17" s="42"/>
      <c r="YG17" s="42"/>
      <c r="YH17" s="42"/>
      <c r="YI17" s="42"/>
      <c r="YJ17" s="42"/>
      <c r="YK17" s="42"/>
      <c r="YL17" s="42"/>
      <c r="YM17" s="42"/>
      <c r="YN17" s="42"/>
      <c r="YO17" s="42"/>
      <c r="YP17" s="42"/>
      <c r="YQ17" s="42"/>
      <c r="YR17" s="42"/>
      <c r="YS17" s="42"/>
      <c r="YT17" s="42"/>
      <c r="YU17" s="42"/>
      <c r="YV17" s="42"/>
      <c r="YW17" s="42"/>
      <c r="YX17" s="42"/>
      <c r="YY17" s="42"/>
      <c r="YZ17" s="42"/>
      <c r="ZA17" s="42"/>
      <c r="ZB17" s="42"/>
      <c r="ZC17" s="42"/>
      <c r="ZD17" s="42"/>
      <c r="ZE17" s="42"/>
      <c r="ZF17" s="42"/>
      <c r="ZG17" s="42"/>
      <c r="ZH17" s="42"/>
      <c r="ZI17" s="42"/>
      <c r="ZJ17" s="42"/>
      <c r="ZK17" s="42"/>
      <c r="ZL17" s="42"/>
      <c r="ZM17" s="42"/>
      <c r="ZN17" s="42"/>
      <c r="ZO17" s="42"/>
      <c r="ZP17" s="42"/>
      <c r="ZQ17" s="42"/>
      <c r="ZR17" s="42"/>
      <c r="ZS17" s="42"/>
      <c r="ZT17" s="42"/>
      <c r="ZU17" s="42"/>
      <c r="ZV17" s="42"/>
      <c r="ZW17" s="42"/>
      <c r="ZX17" s="42"/>
      <c r="ZY17" s="42"/>
      <c r="ZZ17" s="42"/>
      <c r="AAA17" s="42"/>
      <c r="AAB17" s="42"/>
      <c r="AAC17" s="42"/>
      <c r="AAD17" s="42"/>
      <c r="AAE17" s="42"/>
      <c r="AAF17" s="42"/>
      <c r="AAG17" s="42"/>
      <c r="AAH17" s="42"/>
      <c r="AAI17" s="42"/>
      <c r="AAJ17" s="42"/>
      <c r="AAK17" s="42"/>
      <c r="AAL17" s="42"/>
      <c r="AAM17" s="42"/>
      <c r="AAN17" s="42"/>
      <c r="AAO17" s="42"/>
      <c r="AAP17" s="42"/>
      <c r="AAQ17" s="42"/>
      <c r="AAR17" s="42"/>
      <c r="AAS17" s="42"/>
      <c r="AAT17" s="42"/>
      <c r="AAU17" s="42"/>
      <c r="AAV17" s="42"/>
      <c r="AAW17" s="42"/>
      <c r="AAX17" s="42"/>
      <c r="AAY17" s="42"/>
      <c r="AAZ17" s="42"/>
      <c r="ABA17" s="42"/>
      <c r="ABB17" s="42"/>
      <c r="ABC17" s="42"/>
      <c r="ABD17" s="42"/>
      <c r="ABE17" s="42"/>
      <c r="ABF17" s="42"/>
      <c r="ABG17" s="42"/>
      <c r="ABH17" s="42"/>
      <c r="ABI17" s="42"/>
      <c r="ABJ17" s="42"/>
      <c r="ABK17" s="42"/>
      <c r="ABL17" s="42"/>
      <c r="ABM17" s="42"/>
      <c r="ABN17" s="42"/>
      <c r="ABO17" s="42"/>
      <c r="ABP17" s="42"/>
      <c r="ABQ17" s="42"/>
      <c r="ABR17" s="42"/>
      <c r="ABS17" s="42"/>
      <c r="ABT17" s="42"/>
      <c r="ABU17" s="42"/>
      <c r="ABV17" s="42"/>
      <c r="ABW17" s="42"/>
      <c r="ABX17" s="42"/>
      <c r="ABY17" s="42"/>
      <c r="ABZ17" s="42"/>
      <c r="ACA17" s="42"/>
      <c r="ACB17" s="42"/>
      <c r="ACC17" s="42"/>
      <c r="ACD17" s="42"/>
      <c r="ACE17" s="42"/>
      <c r="ACF17" s="42"/>
      <c r="ACG17" s="42"/>
      <c r="ACH17" s="42"/>
      <c r="ACI17" s="42"/>
      <c r="ACJ17" s="42"/>
      <c r="ACK17" s="42"/>
      <c r="ACL17" s="42"/>
      <c r="ACM17" s="42"/>
      <c r="ACN17" s="42"/>
      <c r="ACO17" s="42"/>
      <c r="ACP17" s="42"/>
      <c r="ACQ17" s="42"/>
      <c r="ACR17" s="42"/>
      <c r="ACS17" s="42"/>
      <c r="ACT17" s="42"/>
      <c r="ACU17" s="42"/>
      <c r="ACV17" s="42"/>
      <c r="ACW17" s="42"/>
      <c r="ACX17" s="42"/>
      <c r="ACY17" s="42"/>
      <c r="ACZ17" s="42"/>
      <c r="ADA17" s="42"/>
      <c r="ADB17" s="42"/>
      <c r="ADC17" s="42"/>
      <c r="ADD17" s="42"/>
      <c r="ADE17" s="42"/>
      <c r="ADF17" s="42"/>
      <c r="ADG17" s="42"/>
      <c r="ADH17" s="42"/>
      <c r="ADI17" s="42"/>
      <c r="ADJ17" s="42"/>
      <c r="ADK17" s="42"/>
      <c r="ADL17" s="42"/>
      <c r="ADM17" s="42"/>
      <c r="ADN17" s="42"/>
      <c r="ADO17" s="42"/>
      <c r="ADP17" s="42"/>
      <c r="ADQ17" s="42"/>
      <c r="ADR17" s="42"/>
      <c r="ADS17" s="42"/>
      <c r="ADT17" s="42"/>
      <c r="ADU17" s="42"/>
      <c r="ADV17" s="42"/>
      <c r="ADW17" s="42"/>
      <c r="ADX17" s="42"/>
      <c r="ADY17" s="42"/>
      <c r="ADZ17" s="42"/>
      <c r="AEA17" s="42"/>
      <c r="AEB17" s="42"/>
      <c r="AEC17" s="42"/>
      <c r="AED17" s="42"/>
      <c r="AEE17" s="42"/>
      <c r="AEF17" s="42"/>
      <c r="AEG17" s="42"/>
      <c r="AEH17" s="42"/>
      <c r="AEI17" s="42"/>
      <c r="AEJ17" s="42"/>
      <c r="AEK17" s="42"/>
      <c r="AEL17" s="42"/>
      <c r="AEM17" s="42"/>
      <c r="AEN17" s="42"/>
      <c r="AEO17" s="42"/>
      <c r="AEP17" s="42"/>
      <c r="AEQ17" s="42"/>
      <c r="AER17" s="42"/>
      <c r="AES17" s="42"/>
      <c r="AET17" s="42"/>
      <c r="AEU17" s="42"/>
      <c r="AEV17" s="42"/>
      <c r="AEW17" s="42"/>
      <c r="AEX17" s="42"/>
      <c r="AEY17" s="42"/>
      <c r="AEZ17" s="42"/>
      <c r="AFA17" s="42"/>
      <c r="AFB17" s="42"/>
      <c r="AFC17" s="42"/>
      <c r="AFD17" s="42"/>
      <c r="AFE17" s="42"/>
      <c r="AFF17" s="42"/>
      <c r="AFG17" s="42"/>
      <c r="AFH17" s="42"/>
      <c r="AFI17" s="42"/>
      <c r="AFJ17" s="42"/>
      <c r="AFK17" s="42"/>
      <c r="AFL17" s="42"/>
      <c r="AFM17" s="42"/>
      <c r="AFN17" s="42"/>
      <c r="AFO17" s="42"/>
      <c r="AFP17" s="42"/>
      <c r="AFQ17" s="42"/>
      <c r="AFR17" s="42"/>
      <c r="AFS17" s="42"/>
      <c r="AFT17" s="42"/>
      <c r="AFU17" s="42"/>
      <c r="AFV17" s="42"/>
      <c r="AFW17" s="42"/>
      <c r="AFX17" s="42"/>
      <c r="AFY17" s="42"/>
      <c r="AFZ17" s="42"/>
      <c r="AGA17" s="42"/>
      <c r="AGB17" s="42"/>
      <c r="AGC17" s="42"/>
      <c r="AGD17" s="42"/>
      <c r="AGE17" s="42"/>
      <c r="AGF17" s="42"/>
      <c r="AGG17" s="42"/>
      <c r="AGH17" s="42"/>
      <c r="AGI17" s="42"/>
      <c r="AGJ17" s="42"/>
      <c r="AGK17" s="42"/>
      <c r="AGL17" s="42"/>
      <c r="AGM17" s="42"/>
      <c r="AGN17" s="42"/>
      <c r="AGO17" s="42"/>
      <c r="AGP17" s="42"/>
      <c r="AGQ17" s="42"/>
      <c r="AGR17" s="42"/>
      <c r="AGS17" s="42"/>
      <c r="AGT17" s="42"/>
      <c r="AGU17" s="42"/>
      <c r="AGV17" s="42"/>
      <c r="AGW17" s="42"/>
      <c r="AGX17" s="42"/>
      <c r="AGY17" s="42"/>
      <c r="AGZ17" s="42"/>
      <c r="AHA17" s="42"/>
      <c r="AHB17" s="42"/>
      <c r="AHC17" s="42"/>
      <c r="AHD17" s="42"/>
      <c r="AHE17" s="42"/>
      <c r="AHF17" s="42"/>
      <c r="AHG17" s="42"/>
      <c r="AHH17" s="42"/>
      <c r="AHI17" s="42"/>
      <c r="AHJ17" s="42"/>
      <c r="AHK17" s="42"/>
      <c r="AHL17" s="42"/>
      <c r="AHM17" s="42"/>
      <c r="AHN17" s="42"/>
      <c r="AHO17" s="42"/>
      <c r="AHP17" s="42"/>
      <c r="AHQ17" s="42"/>
      <c r="AHR17" s="42"/>
      <c r="AHS17" s="42"/>
      <c r="AHT17" s="42"/>
      <c r="AHU17" s="42"/>
      <c r="AHV17" s="42"/>
      <c r="AHW17" s="42"/>
      <c r="AHX17" s="42"/>
      <c r="AHY17" s="42"/>
      <c r="AHZ17" s="42"/>
      <c r="AIA17" s="42"/>
      <c r="AIB17" s="42"/>
      <c r="AIC17" s="42"/>
      <c r="AID17" s="42"/>
      <c r="AIE17" s="42"/>
      <c r="AIF17" s="42"/>
      <c r="AIG17" s="42"/>
      <c r="AIH17" s="42"/>
      <c r="AII17" s="42"/>
      <c r="AIJ17" s="42"/>
      <c r="AIK17" s="42"/>
      <c r="AIL17" s="42"/>
      <c r="AIM17" s="42"/>
      <c r="AIN17" s="42"/>
      <c r="AIO17" s="42"/>
      <c r="AIP17" s="42"/>
      <c r="AIQ17" s="42"/>
      <c r="AIR17" s="42"/>
      <c r="AIS17" s="42"/>
      <c r="AIT17" s="42"/>
      <c r="AIU17" s="42"/>
      <c r="AIV17" s="42"/>
      <c r="AIW17" s="42"/>
      <c r="AIX17" s="42"/>
      <c r="AIY17" s="42"/>
      <c r="AIZ17" s="42"/>
      <c r="AJA17" s="42"/>
      <c r="AJB17" s="42"/>
      <c r="AJC17" s="42"/>
      <c r="AJD17" s="42"/>
      <c r="AJE17" s="42"/>
      <c r="AJF17" s="42"/>
      <c r="AJG17" s="42"/>
      <c r="AJH17" s="42"/>
      <c r="AJI17" s="42"/>
      <c r="AJJ17" s="42"/>
      <c r="AJK17" s="42"/>
      <c r="AJL17" s="42"/>
      <c r="AJM17" s="42"/>
      <c r="AJN17" s="42"/>
      <c r="AJO17" s="42"/>
      <c r="AJP17" s="42"/>
      <c r="AJQ17" s="42"/>
      <c r="AJR17" s="42"/>
      <c r="AJS17" s="42"/>
      <c r="AJT17" s="42"/>
      <c r="AJU17" s="42"/>
      <c r="AJV17" s="42"/>
      <c r="AJW17" s="42"/>
      <c r="AJX17" s="42"/>
      <c r="AJY17" s="42"/>
      <c r="AJZ17" s="42"/>
      <c r="AKA17" s="42"/>
      <c r="AKB17" s="42"/>
      <c r="AKC17" s="42"/>
      <c r="AKD17" s="42"/>
      <c r="AKE17" s="42"/>
      <c r="AKF17" s="42"/>
      <c r="AKG17" s="42"/>
      <c r="AKH17" s="42"/>
      <c r="AKI17" s="42"/>
      <c r="AKJ17" s="42"/>
      <c r="AKK17" s="42"/>
      <c r="AKL17" s="42"/>
      <c r="AKM17" s="42"/>
      <c r="AKN17" s="42"/>
      <c r="AKO17" s="42"/>
      <c r="AKP17" s="42"/>
      <c r="AKQ17" s="42"/>
      <c r="AKR17" s="42"/>
      <c r="AKS17" s="42"/>
      <c r="AKT17" s="42"/>
      <c r="AKU17" s="42"/>
      <c r="AKV17" s="42"/>
      <c r="AKW17" s="42"/>
      <c r="AKX17" s="42"/>
      <c r="AKY17" s="42"/>
      <c r="AKZ17" s="42"/>
      <c r="ALA17" s="42"/>
      <c r="ALB17" s="42"/>
      <c r="ALC17" s="42"/>
      <c r="ALD17" s="42"/>
      <c r="ALE17" s="42"/>
      <c r="ALF17" s="42"/>
      <c r="ALG17" s="42"/>
      <c r="ALH17" s="42"/>
      <c r="ALI17" s="42"/>
      <c r="ALJ17" s="42"/>
      <c r="ALK17" s="42"/>
      <c r="ALL17" s="42"/>
      <c r="ALM17" s="42"/>
      <c r="ALN17" s="42"/>
      <c r="ALO17" s="42"/>
      <c r="ALP17" s="42"/>
      <c r="ALQ17" s="42"/>
      <c r="ALR17" s="42"/>
      <c r="ALS17" s="42"/>
      <c r="ALT17" s="42"/>
      <c r="ALU17" s="42"/>
      <c r="ALV17" s="42"/>
      <c r="ALW17" s="42"/>
      <c r="ALX17" s="42"/>
      <c r="ALY17" s="42"/>
      <c r="ALZ17" s="42"/>
      <c r="AMA17" s="42"/>
      <c r="AMB17" s="42"/>
      <c r="AMC17" s="42"/>
      <c r="AMD17" s="42"/>
      <c r="AME17" s="42"/>
      <c r="AMF17" s="42"/>
      <c r="AMG17" s="42"/>
      <c r="AMH17" s="42"/>
      <c r="AMI17" s="42"/>
      <c r="AMJ17" s="42"/>
      <c r="AMK17" s="42"/>
      <c r="AML17" s="42"/>
      <c r="AMM17" s="42"/>
      <c r="AMN17" s="42"/>
      <c r="AMO17" s="42"/>
      <c r="AMP17" s="42"/>
      <c r="AMQ17" s="42"/>
      <c r="AMR17" s="42"/>
      <c r="AMS17" s="42"/>
      <c r="AMT17" s="42"/>
      <c r="AMU17" s="42"/>
      <c r="AMV17" s="42"/>
      <c r="AMW17" s="42"/>
      <c r="AMX17" s="42"/>
      <c r="AMY17" s="42"/>
      <c r="AMZ17" s="42"/>
      <c r="ANA17" s="42"/>
      <c r="ANB17" s="42"/>
      <c r="ANC17" s="42"/>
      <c r="AND17" s="42"/>
      <c r="ANE17" s="42"/>
      <c r="ANF17" s="42"/>
      <c r="ANG17" s="42"/>
      <c r="ANH17" s="42"/>
      <c r="ANI17" s="42"/>
      <c r="ANJ17" s="42"/>
      <c r="ANK17" s="42"/>
      <c r="ANL17" s="42"/>
      <c r="ANM17" s="42"/>
      <c r="ANN17" s="42"/>
      <c r="ANO17" s="42"/>
      <c r="ANP17" s="42"/>
      <c r="ANQ17" s="42"/>
      <c r="ANR17" s="42"/>
      <c r="ANS17" s="42"/>
      <c r="ANT17" s="42"/>
      <c r="ANU17" s="42"/>
      <c r="ANV17" s="42"/>
      <c r="ANW17" s="42"/>
      <c r="ANX17" s="42"/>
      <c r="ANY17" s="42"/>
      <c r="ANZ17" s="42"/>
      <c r="AOA17" s="42"/>
      <c r="AOB17" s="42"/>
      <c r="AOC17" s="42"/>
      <c r="AOD17" s="42"/>
      <c r="AOE17" s="42"/>
      <c r="AOF17" s="42"/>
      <c r="AOG17" s="42"/>
      <c r="AOH17" s="42"/>
      <c r="AOI17" s="42"/>
      <c r="AOJ17" s="42"/>
      <c r="AOK17" s="42"/>
      <c r="AOL17" s="42"/>
      <c r="AOM17" s="42"/>
      <c r="AON17" s="42"/>
      <c r="AOO17" s="42"/>
      <c r="AOP17" s="42"/>
      <c r="AOQ17" s="42"/>
      <c r="AOR17" s="42"/>
      <c r="AOS17" s="42"/>
      <c r="AOT17" s="42"/>
      <c r="AOU17" s="42"/>
      <c r="AOV17" s="42"/>
      <c r="AOW17" s="42"/>
      <c r="AOX17" s="42"/>
      <c r="AOY17" s="42"/>
      <c r="AOZ17" s="42"/>
      <c r="APA17" s="42"/>
      <c r="APB17" s="42"/>
      <c r="APC17" s="42"/>
      <c r="APD17" s="42"/>
      <c r="APE17" s="42"/>
      <c r="APF17" s="42"/>
      <c r="APG17" s="42"/>
      <c r="APH17" s="42"/>
      <c r="API17" s="42"/>
      <c r="APJ17" s="42"/>
      <c r="APK17" s="42"/>
      <c r="APL17" s="42"/>
      <c r="APM17" s="42"/>
      <c r="APN17" s="42"/>
      <c r="APO17" s="42"/>
      <c r="APP17" s="42"/>
      <c r="APQ17" s="42"/>
      <c r="APR17" s="42"/>
      <c r="APS17" s="42"/>
      <c r="APT17" s="42"/>
      <c r="APU17" s="42"/>
      <c r="APV17" s="42"/>
      <c r="APW17" s="42"/>
      <c r="APX17" s="42"/>
      <c r="APY17" s="42"/>
      <c r="APZ17" s="42"/>
      <c r="AQA17" s="42"/>
      <c r="AQB17" s="42"/>
      <c r="AQC17" s="42"/>
      <c r="AQD17" s="42"/>
      <c r="AQE17" s="42"/>
      <c r="AQF17" s="42"/>
      <c r="AQG17" s="42"/>
      <c r="AQH17" s="42"/>
      <c r="AQI17" s="42"/>
      <c r="AQJ17" s="42"/>
      <c r="AQK17" s="42"/>
      <c r="AQL17" s="42"/>
      <c r="AQM17" s="42"/>
      <c r="AQN17" s="42"/>
      <c r="AQO17" s="42"/>
      <c r="AQP17" s="42"/>
      <c r="AQQ17" s="42"/>
      <c r="AQR17" s="42"/>
      <c r="AQS17" s="42"/>
      <c r="AQT17" s="42"/>
      <c r="AQU17" s="42"/>
      <c r="AQV17" s="42"/>
      <c r="AQW17" s="42"/>
      <c r="AQX17" s="42"/>
      <c r="AQY17" s="42"/>
      <c r="AQZ17" s="42"/>
      <c r="ARA17" s="42"/>
      <c r="ARB17" s="42"/>
      <c r="ARC17" s="42"/>
      <c r="ARD17" s="42"/>
      <c r="ARE17" s="42"/>
      <c r="ARF17" s="42"/>
      <c r="ARG17" s="42"/>
      <c r="ARH17" s="42"/>
      <c r="ARI17" s="42"/>
      <c r="ARJ17" s="42"/>
      <c r="ARK17" s="42"/>
      <c r="ARL17" s="42"/>
      <c r="ARM17" s="42"/>
      <c r="ARN17" s="42"/>
      <c r="ARO17" s="42"/>
      <c r="ARP17" s="42"/>
      <c r="ARQ17" s="42"/>
      <c r="ARR17" s="42"/>
      <c r="ARS17" s="42"/>
      <c r="ART17" s="42"/>
      <c r="ARU17" s="42"/>
      <c r="ARV17" s="42"/>
      <c r="ARW17" s="42"/>
      <c r="ARX17" s="42"/>
      <c r="ARY17" s="42"/>
      <c r="ARZ17" s="42"/>
      <c r="ASA17" s="42"/>
      <c r="ASB17" s="42"/>
      <c r="ASC17" s="42"/>
      <c r="ASD17" s="42"/>
      <c r="ASE17" s="42"/>
      <c r="ASF17" s="42"/>
      <c r="ASG17" s="42"/>
      <c r="ASH17" s="42"/>
      <c r="ASI17" s="42"/>
      <c r="ASJ17" s="42"/>
      <c r="ASK17" s="42"/>
      <c r="ASL17" s="42"/>
      <c r="ASM17" s="42"/>
      <c r="ASN17" s="42"/>
      <c r="ASO17" s="42"/>
      <c r="ASP17" s="42"/>
      <c r="ASQ17" s="42"/>
      <c r="ASR17" s="42"/>
      <c r="ASS17" s="42"/>
      <c r="AST17" s="42"/>
      <c r="ASU17" s="42"/>
      <c r="ASV17" s="42"/>
      <c r="ASW17" s="42"/>
      <c r="ASX17" s="42"/>
      <c r="ASY17" s="42"/>
      <c r="ASZ17" s="42"/>
      <c r="ATA17" s="42"/>
      <c r="ATB17" s="42"/>
      <c r="ATC17" s="42"/>
      <c r="ATD17" s="42"/>
      <c r="ATE17" s="42"/>
      <c r="ATF17" s="42"/>
      <c r="ATG17" s="42"/>
      <c r="ATH17" s="42"/>
      <c r="ATI17" s="42"/>
      <c r="ATJ17" s="42"/>
      <c r="ATK17" s="42"/>
      <c r="ATL17" s="42"/>
      <c r="ATM17" s="42"/>
      <c r="ATN17" s="42"/>
      <c r="ATO17" s="42"/>
      <c r="ATP17" s="42"/>
      <c r="ATQ17" s="42"/>
      <c r="ATR17" s="42"/>
      <c r="ATS17" s="42"/>
      <c r="ATT17" s="42"/>
      <c r="ATU17" s="42"/>
      <c r="ATV17" s="42"/>
      <c r="ATW17" s="42"/>
      <c r="ATX17" s="42"/>
      <c r="ATY17" s="42"/>
      <c r="ATZ17" s="42"/>
      <c r="AUA17" s="42"/>
      <c r="AUB17" s="42"/>
      <c r="AUC17" s="42"/>
      <c r="AUD17" s="42"/>
      <c r="AUE17" s="42"/>
      <c r="AUF17" s="42"/>
      <c r="AUG17" s="42"/>
      <c r="AUH17" s="42"/>
      <c r="AUI17" s="42"/>
      <c r="AUJ17" s="42"/>
      <c r="AUK17" s="42"/>
      <c r="AUL17" s="42"/>
      <c r="AUM17" s="42"/>
      <c r="AUN17" s="42"/>
      <c r="AUO17" s="42"/>
      <c r="AUP17" s="42"/>
      <c r="AUQ17" s="42"/>
      <c r="AUR17" s="42"/>
      <c r="AUS17" s="42"/>
      <c r="AUT17" s="42"/>
      <c r="AUU17" s="42"/>
      <c r="AUV17" s="42"/>
      <c r="AUW17" s="42"/>
      <c r="AUX17" s="42"/>
      <c r="AUY17" s="42"/>
      <c r="AUZ17" s="42"/>
      <c r="AVA17" s="42"/>
      <c r="AVB17" s="42"/>
      <c r="AVC17" s="42"/>
      <c r="AVD17" s="42"/>
      <c r="AVE17" s="42"/>
      <c r="AVF17" s="42"/>
      <c r="AVG17" s="42"/>
      <c r="AVH17" s="42"/>
      <c r="AVI17" s="42"/>
      <c r="AVJ17" s="42"/>
      <c r="AVK17" s="42"/>
      <c r="AVL17" s="42"/>
      <c r="AVM17" s="42"/>
      <c r="AVN17" s="42"/>
      <c r="AVO17" s="42"/>
      <c r="AVP17" s="42"/>
      <c r="AVQ17" s="42"/>
      <c r="AVR17" s="42"/>
      <c r="AVS17" s="42"/>
      <c r="AVT17" s="42"/>
      <c r="AVU17" s="42"/>
      <c r="AVV17" s="42"/>
      <c r="AVW17" s="42"/>
      <c r="AVX17" s="42"/>
      <c r="AVY17" s="42"/>
      <c r="AVZ17" s="42"/>
      <c r="AWA17" s="42"/>
      <c r="AWB17" s="42"/>
      <c r="AWC17" s="42"/>
      <c r="AWD17" s="42"/>
      <c r="AWE17" s="42"/>
      <c r="AWF17" s="42"/>
      <c r="AWG17" s="42"/>
      <c r="AWH17" s="42"/>
      <c r="AWI17" s="42"/>
      <c r="AWJ17" s="42"/>
      <c r="AWK17" s="42"/>
      <c r="AWL17" s="42"/>
      <c r="AWM17" s="42"/>
      <c r="AWN17" s="42"/>
      <c r="AWO17" s="42"/>
      <c r="AWP17" s="42"/>
      <c r="AWQ17" s="42"/>
      <c r="AWR17" s="42"/>
      <c r="AWS17" s="42"/>
      <c r="AWT17" s="42"/>
      <c r="AWU17" s="42"/>
      <c r="AWV17" s="42"/>
      <c r="AWW17" s="42"/>
      <c r="AWX17" s="42"/>
      <c r="AWY17" s="42"/>
      <c r="AWZ17" s="42"/>
      <c r="AXA17" s="42"/>
      <c r="AXB17" s="42"/>
      <c r="AXC17" s="42"/>
      <c r="AXD17" s="42"/>
      <c r="AXE17" s="42"/>
      <c r="AXF17" s="42"/>
      <c r="AXG17" s="42"/>
      <c r="AXH17" s="42"/>
      <c r="AXI17" s="42"/>
      <c r="AXJ17" s="42"/>
      <c r="AXK17" s="42"/>
      <c r="AXL17" s="42"/>
      <c r="AXM17" s="42"/>
      <c r="AXN17" s="42"/>
      <c r="AXO17" s="42"/>
      <c r="AXP17" s="42"/>
      <c r="AXQ17" s="42"/>
      <c r="AXR17" s="42"/>
      <c r="AXS17" s="42"/>
      <c r="AXT17" s="42"/>
      <c r="AXU17" s="42"/>
      <c r="AXV17" s="42"/>
      <c r="AXW17" s="42"/>
      <c r="AXX17" s="42"/>
      <c r="AXY17" s="42"/>
      <c r="AXZ17" s="42"/>
      <c r="AYA17" s="42"/>
      <c r="AYB17" s="42"/>
      <c r="AYC17" s="42"/>
      <c r="AYD17" s="42"/>
      <c r="AYE17" s="42"/>
      <c r="AYF17" s="42"/>
      <c r="AYG17" s="42"/>
      <c r="AYH17" s="42"/>
      <c r="AYI17" s="42"/>
      <c r="AYJ17" s="42"/>
      <c r="AYK17" s="42"/>
      <c r="AYL17" s="42"/>
      <c r="AYM17" s="42"/>
      <c r="AYN17" s="42"/>
      <c r="AYO17" s="42"/>
      <c r="AYP17" s="42"/>
      <c r="AYQ17" s="42"/>
      <c r="AYR17" s="42"/>
      <c r="AYS17" s="42"/>
      <c r="AYT17" s="42"/>
      <c r="AYU17" s="42"/>
      <c r="AYV17" s="42"/>
      <c r="AYW17" s="42"/>
      <c r="AYX17" s="42"/>
      <c r="AYY17" s="42"/>
      <c r="AYZ17" s="42"/>
      <c r="AZA17" s="42"/>
      <c r="AZB17" s="42"/>
      <c r="AZC17" s="42"/>
      <c r="AZD17" s="42"/>
      <c r="AZE17" s="42"/>
      <c r="AZF17" s="42"/>
      <c r="AZG17" s="42"/>
      <c r="AZH17" s="42"/>
      <c r="AZI17" s="42"/>
      <c r="AZJ17" s="42"/>
      <c r="AZK17" s="42"/>
      <c r="AZL17" s="42"/>
      <c r="AZM17" s="42"/>
      <c r="AZN17" s="42"/>
      <c r="AZO17" s="42"/>
      <c r="AZP17" s="42"/>
      <c r="AZQ17" s="42"/>
      <c r="AZR17" s="42"/>
      <c r="AZS17" s="42"/>
      <c r="AZT17" s="42"/>
      <c r="AZU17" s="42"/>
      <c r="AZV17" s="42"/>
      <c r="AZW17" s="42"/>
      <c r="AZX17" s="42"/>
      <c r="AZY17" s="42"/>
      <c r="AZZ17" s="42"/>
      <c r="BAA17" s="42"/>
      <c r="BAB17" s="42"/>
      <c r="BAC17" s="42"/>
      <c r="BAD17" s="42"/>
      <c r="BAE17" s="42"/>
      <c r="BAF17" s="42"/>
      <c r="BAG17" s="42"/>
      <c r="BAH17" s="42"/>
      <c r="BAI17" s="42"/>
      <c r="BAJ17" s="42"/>
      <c r="BAK17" s="42"/>
      <c r="BAL17" s="42"/>
      <c r="BAM17" s="42"/>
      <c r="BAN17" s="42"/>
      <c r="BAO17" s="42"/>
      <c r="BAP17" s="42"/>
      <c r="BAQ17" s="42"/>
      <c r="BAR17" s="42"/>
      <c r="BAS17" s="42"/>
      <c r="BAT17" s="42"/>
      <c r="BAU17" s="42"/>
      <c r="BAV17" s="42"/>
      <c r="BAW17" s="42"/>
      <c r="BAX17" s="42"/>
      <c r="BAY17" s="42"/>
      <c r="BAZ17" s="42"/>
      <c r="BBA17" s="42"/>
      <c r="BBB17" s="42"/>
      <c r="BBC17" s="42"/>
      <c r="BBD17" s="42"/>
      <c r="BBE17" s="42"/>
      <c r="BBF17" s="42"/>
      <c r="BBG17" s="42"/>
      <c r="BBH17" s="42"/>
      <c r="BBI17" s="42"/>
      <c r="BBJ17" s="42"/>
      <c r="BBK17" s="42"/>
      <c r="BBL17" s="42"/>
      <c r="BBM17" s="42"/>
      <c r="BBN17" s="42"/>
      <c r="BBO17" s="42"/>
      <c r="BBP17" s="42"/>
      <c r="BBQ17" s="42"/>
      <c r="BBR17" s="42"/>
      <c r="BBS17" s="42"/>
      <c r="BBT17" s="42"/>
      <c r="BBU17" s="42"/>
      <c r="BBV17" s="42"/>
      <c r="BBW17" s="42"/>
      <c r="BBX17" s="42"/>
      <c r="BBY17" s="42"/>
      <c r="BBZ17" s="42"/>
      <c r="BCA17" s="42"/>
      <c r="BCB17" s="42"/>
      <c r="BCC17" s="42"/>
      <c r="BCD17" s="42"/>
      <c r="BCE17" s="42"/>
      <c r="BCF17" s="42"/>
      <c r="BCG17" s="42"/>
      <c r="BCH17" s="42"/>
      <c r="BCI17" s="42"/>
      <c r="BCJ17" s="42"/>
      <c r="BCK17" s="42"/>
      <c r="BCL17" s="42"/>
      <c r="BCM17" s="42"/>
      <c r="BCN17" s="42"/>
      <c r="BCO17" s="42"/>
      <c r="BCP17" s="42"/>
      <c r="BCQ17" s="42"/>
      <c r="BCR17" s="42"/>
      <c r="BCS17" s="42"/>
      <c r="BCT17" s="42"/>
      <c r="BCU17" s="42"/>
      <c r="BCV17" s="42"/>
      <c r="BCW17" s="42"/>
      <c r="BCX17" s="42"/>
      <c r="BCY17" s="42"/>
      <c r="BCZ17" s="42"/>
      <c r="BDA17" s="42"/>
      <c r="BDB17" s="42"/>
      <c r="BDC17" s="42"/>
      <c r="BDD17" s="42"/>
      <c r="BDE17" s="42"/>
      <c r="BDF17" s="42"/>
      <c r="BDG17" s="42"/>
      <c r="BDH17" s="42"/>
      <c r="BDI17" s="42"/>
      <c r="BDJ17" s="42"/>
      <c r="BDK17" s="42"/>
      <c r="BDL17" s="42"/>
      <c r="BDM17" s="42"/>
      <c r="BDN17" s="42"/>
      <c r="BDO17" s="42"/>
      <c r="BDP17" s="42"/>
      <c r="BDQ17" s="42"/>
      <c r="BDR17" s="42"/>
      <c r="BDS17" s="42"/>
      <c r="BDT17" s="42"/>
      <c r="BDU17" s="42"/>
      <c r="BDV17" s="42"/>
      <c r="BDW17" s="42"/>
      <c r="BDX17" s="42"/>
      <c r="BDY17" s="42"/>
      <c r="BDZ17" s="42"/>
      <c r="BEA17" s="42"/>
      <c r="BEB17" s="42"/>
      <c r="BEC17" s="42"/>
      <c r="BED17" s="42"/>
      <c r="BEE17" s="42"/>
      <c r="BEF17" s="42"/>
      <c r="BEG17" s="42"/>
      <c r="BEH17" s="42"/>
      <c r="BEI17" s="42"/>
      <c r="BEJ17" s="42"/>
      <c r="BEK17" s="42"/>
      <c r="BEL17" s="42"/>
      <c r="BEM17" s="42"/>
      <c r="BEN17" s="42"/>
      <c r="BEO17" s="42"/>
      <c r="BEP17" s="42"/>
      <c r="BEQ17" s="42"/>
      <c r="BER17" s="42"/>
      <c r="BES17" s="42"/>
      <c r="BET17" s="42"/>
      <c r="BEU17" s="42"/>
      <c r="BEV17" s="42"/>
      <c r="BEW17" s="42"/>
      <c r="BEX17" s="42"/>
      <c r="BEY17" s="42"/>
      <c r="BEZ17" s="42"/>
      <c r="BFA17" s="42"/>
      <c r="BFB17" s="42"/>
      <c r="BFC17" s="42"/>
      <c r="BFD17" s="42"/>
      <c r="BFE17" s="42"/>
      <c r="BFF17" s="42"/>
      <c r="BFG17" s="42"/>
      <c r="BFH17" s="42"/>
      <c r="BFI17" s="42"/>
      <c r="BFJ17" s="42"/>
      <c r="BFK17" s="42"/>
      <c r="BFL17" s="42"/>
      <c r="BFM17" s="42"/>
      <c r="BFN17" s="42"/>
      <c r="BFO17" s="42"/>
      <c r="BFP17" s="42"/>
      <c r="BFQ17" s="42"/>
      <c r="BFR17" s="42"/>
      <c r="BFS17" s="42"/>
      <c r="BFT17" s="42"/>
      <c r="BFU17" s="42"/>
      <c r="BFV17" s="42"/>
      <c r="BFW17" s="42"/>
      <c r="BFX17" s="42"/>
      <c r="BFY17" s="42"/>
      <c r="BFZ17" s="42"/>
      <c r="BGA17" s="42"/>
      <c r="BGB17" s="42"/>
      <c r="BGC17" s="42"/>
      <c r="BGD17" s="42"/>
      <c r="BGE17" s="42"/>
      <c r="BGF17" s="42"/>
      <c r="BGG17" s="42"/>
      <c r="BGH17" s="42"/>
      <c r="BGI17" s="42"/>
      <c r="BGJ17" s="42"/>
      <c r="BGK17" s="42"/>
      <c r="BGL17" s="42"/>
      <c r="BGM17" s="42"/>
      <c r="BGN17" s="42"/>
      <c r="BGO17" s="42"/>
      <c r="BGP17" s="42"/>
      <c r="BGQ17" s="42"/>
      <c r="BGR17" s="42"/>
      <c r="BGS17" s="42"/>
      <c r="BGT17" s="42"/>
      <c r="BGU17" s="42"/>
      <c r="BGV17" s="42"/>
      <c r="BGW17" s="42"/>
      <c r="BGX17" s="42"/>
      <c r="BGY17" s="42"/>
      <c r="BGZ17" s="42"/>
      <c r="BHA17" s="42"/>
      <c r="BHB17" s="42"/>
      <c r="BHC17" s="42"/>
      <c r="BHD17" s="42"/>
      <c r="BHE17" s="42"/>
      <c r="BHF17" s="42"/>
      <c r="BHG17" s="42"/>
      <c r="BHH17" s="42"/>
      <c r="BHI17" s="42"/>
      <c r="BHJ17" s="42"/>
      <c r="BHK17" s="42"/>
      <c r="BHL17" s="42"/>
      <c r="BHM17" s="42"/>
      <c r="BHN17" s="42"/>
      <c r="BHO17" s="42"/>
      <c r="BHP17" s="42"/>
      <c r="BHQ17" s="42"/>
      <c r="BHR17" s="42"/>
      <c r="BHS17" s="42"/>
      <c r="BHT17" s="42"/>
      <c r="BHU17" s="42"/>
      <c r="BHV17" s="42"/>
      <c r="BHW17" s="42"/>
      <c r="BHX17" s="42"/>
      <c r="BHY17" s="42"/>
      <c r="BHZ17" s="42"/>
      <c r="BIA17" s="42"/>
      <c r="BIB17" s="42"/>
      <c r="BIC17" s="42"/>
      <c r="BID17" s="42"/>
      <c r="BIE17" s="42"/>
      <c r="BIF17" s="42"/>
      <c r="BIG17" s="42"/>
      <c r="BIH17" s="42"/>
      <c r="BII17" s="42"/>
      <c r="BIJ17" s="42"/>
      <c r="BIK17" s="42"/>
      <c r="BIL17" s="42"/>
      <c r="BIM17" s="42"/>
      <c r="BIN17" s="42"/>
      <c r="BIO17" s="42"/>
      <c r="BIP17" s="42"/>
      <c r="BIQ17" s="42"/>
      <c r="BIR17" s="42"/>
      <c r="BIS17" s="42"/>
      <c r="BIT17" s="42"/>
      <c r="BIU17" s="42"/>
      <c r="BIV17" s="42"/>
      <c r="BIW17" s="42"/>
      <c r="BIX17" s="42"/>
      <c r="BIY17" s="42"/>
      <c r="BIZ17" s="42"/>
      <c r="BJA17" s="42"/>
      <c r="BJB17" s="42"/>
      <c r="BJC17" s="42"/>
      <c r="BJD17" s="42"/>
      <c r="BJE17" s="42"/>
      <c r="BJF17" s="42"/>
      <c r="BJG17" s="42"/>
      <c r="BJH17" s="42"/>
      <c r="BJI17" s="42"/>
      <c r="BJJ17" s="42"/>
      <c r="BJK17" s="42"/>
      <c r="BJL17" s="42"/>
      <c r="BJM17" s="42"/>
      <c r="BJN17" s="42"/>
      <c r="BJO17" s="42"/>
      <c r="BJP17" s="42"/>
      <c r="BJQ17" s="42"/>
      <c r="BJR17" s="42"/>
      <c r="BJS17" s="42"/>
      <c r="BJT17" s="42"/>
      <c r="BJU17" s="42"/>
      <c r="BJV17" s="42"/>
      <c r="BJW17" s="42"/>
      <c r="BJX17" s="42"/>
      <c r="BJY17" s="42"/>
      <c r="BJZ17" s="42"/>
      <c r="BKA17" s="42"/>
      <c r="BKB17" s="42"/>
      <c r="BKC17" s="42"/>
      <c r="BKD17" s="42"/>
      <c r="BKE17" s="42"/>
      <c r="BKF17" s="42"/>
      <c r="BKG17" s="42"/>
      <c r="BKH17" s="42"/>
      <c r="BKI17" s="42"/>
      <c r="BKJ17" s="42"/>
      <c r="BKK17" s="42"/>
      <c r="BKL17" s="42"/>
      <c r="BKM17" s="42"/>
      <c r="BKN17" s="42"/>
      <c r="BKO17" s="42"/>
      <c r="BKP17" s="42"/>
      <c r="BKQ17" s="42"/>
      <c r="BKR17" s="42"/>
      <c r="BKS17" s="42"/>
      <c r="BKT17" s="42"/>
      <c r="BKU17" s="42"/>
      <c r="BKV17" s="42"/>
      <c r="BKW17" s="42"/>
      <c r="BKX17" s="42"/>
      <c r="BKY17" s="42"/>
      <c r="BKZ17" s="42"/>
      <c r="BLA17" s="42"/>
      <c r="BLB17" s="42"/>
      <c r="BLC17" s="42"/>
      <c r="BLD17" s="42"/>
      <c r="BLE17" s="42"/>
      <c r="BLF17" s="42"/>
      <c r="BLG17" s="42"/>
      <c r="BLH17" s="42"/>
      <c r="BLI17" s="42"/>
      <c r="BLJ17" s="42"/>
      <c r="BLK17" s="42"/>
      <c r="BLL17" s="42"/>
      <c r="BLM17" s="42"/>
      <c r="BLN17" s="42"/>
      <c r="BLO17" s="42"/>
      <c r="BLP17" s="42"/>
      <c r="BLQ17" s="42"/>
      <c r="BLR17" s="42"/>
      <c r="BLS17" s="42"/>
      <c r="BLT17" s="42"/>
      <c r="BLU17" s="42"/>
      <c r="BLV17" s="42"/>
      <c r="BLW17" s="42"/>
      <c r="BLX17" s="42"/>
      <c r="BLY17" s="42"/>
      <c r="BLZ17" s="42"/>
      <c r="BMA17" s="42"/>
      <c r="BMB17" s="42"/>
      <c r="BMC17" s="42"/>
      <c r="BMD17" s="42"/>
      <c r="BME17" s="42"/>
      <c r="BMF17" s="42"/>
      <c r="BMG17" s="42"/>
      <c r="BMH17" s="42"/>
      <c r="BMI17" s="42"/>
      <c r="BMJ17" s="42"/>
      <c r="BMK17" s="42"/>
      <c r="BML17" s="42"/>
      <c r="BMM17" s="42"/>
      <c r="BMN17" s="42"/>
      <c r="BMO17" s="42"/>
      <c r="BMP17" s="42"/>
      <c r="BMQ17" s="42"/>
      <c r="BMR17" s="42"/>
      <c r="BMS17" s="42"/>
      <c r="BMT17" s="42"/>
      <c r="BMU17" s="42"/>
      <c r="BMV17" s="42"/>
      <c r="BMW17" s="42"/>
      <c r="BMX17" s="42"/>
      <c r="BMY17" s="42"/>
      <c r="BMZ17" s="42"/>
      <c r="BNA17" s="42"/>
      <c r="BNB17" s="42"/>
      <c r="BNC17" s="42"/>
      <c r="BND17" s="42"/>
      <c r="BNE17" s="42"/>
      <c r="BNF17" s="42"/>
      <c r="BNG17" s="42"/>
      <c r="BNH17" s="42"/>
      <c r="BNI17" s="42"/>
      <c r="BNJ17" s="42"/>
      <c r="BNK17" s="42"/>
      <c r="BNL17" s="42"/>
      <c r="BNM17" s="42"/>
      <c r="BNN17" s="42"/>
      <c r="BNO17" s="42"/>
      <c r="BNP17" s="42"/>
      <c r="BNQ17" s="42"/>
      <c r="BNR17" s="42"/>
      <c r="BNS17" s="42"/>
      <c r="BNT17" s="42"/>
      <c r="BNU17" s="42"/>
      <c r="BNV17" s="42"/>
      <c r="BNW17" s="42"/>
      <c r="BNX17" s="42"/>
      <c r="BNY17" s="42"/>
      <c r="BNZ17" s="42"/>
      <c r="BOA17" s="42"/>
      <c r="BOB17" s="42"/>
      <c r="BOC17" s="42"/>
      <c r="BOD17" s="42"/>
      <c r="BOE17" s="42"/>
      <c r="BOF17" s="42"/>
      <c r="BOG17" s="42"/>
      <c r="BOH17" s="42"/>
      <c r="BOI17" s="42"/>
      <c r="BOJ17" s="42"/>
      <c r="BOK17" s="42"/>
      <c r="BOL17" s="42"/>
      <c r="BOM17" s="42"/>
      <c r="BON17" s="42"/>
      <c r="BOO17" s="42"/>
      <c r="BOP17" s="42"/>
      <c r="BOQ17" s="42"/>
      <c r="BOR17" s="42"/>
      <c r="BOS17" s="42"/>
      <c r="BOT17" s="42"/>
      <c r="BOU17" s="42"/>
      <c r="BOV17" s="42"/>
      <c r="BOW17" s="42"/>
      <c r="BOX17" s="42"/>
      <c r="BOY17" s="42"/>
      <c r="BOZ17" s="42"/>
      <c r="BPA17" s="42"/>
      <c r="BPB17" s="42"/>
      <c r="BPC17" s="42"/>
      <c r="BPD17" s="42"/>
      <c r="BPE17" s="42"/>
      <c r="BPF17" s="42"/>
      <c r="BPG17" s="42"/>
      <c r="BPH17" s="42"/>
      <c r="BPI17" s="42"/>
      <c r="BPJ17" s="42"/>
      <c r="BPK17" s="42"/>
      <c r="BPL17" s="42"/>
      <c r="BPM17" s="42"/>
      <c r="BPN17" s="42"/>
      <c r="BPO17" s="42"/>
      <c r="BPP17" s="42"/>
      <c r="BPQ17" s="42"/>
      <c r="BPR17" s="42"/>
      <c r="BPS17" s="42"/>
      <c r="BPT17" s="42"/>
      <c r="BPU17" s="42"/>
      <c r="BPV17" s="42"/>
      <c r="BPW17" s="42"/>
      <c r="BPX17" s="42"/>
      <c r="BPY17" s="42"/>
      <c r="BPZ17" s="42"/>
      <c r="BQA17" s="42"/>
      <c r="BQB17" s="42"/>
      <c r="BQC17" s="42"/>
      <c r="BQD17" s="42"/>
      <c r="BQE17" s="42"/>
      <c r="BQF17" s="42"/>
      <c r="BQG17" s="42"/>
      <c r="BQH17" s="42"/>
      <c r="BQI17" s="42"/>
      <c r="BQJ17" s="42"/>
      <c r="BQK17" s="42"/>
      <c r="BQL17" s="42"/>
      <c r="BQM17" s="42"/>
      <c r="BQN17" s="42"/>
      <c r="BQO17" s="42"/>
      <c r="BQP17" s="42"/>
      <c r="BQQ17" s="42"/>
      <c r="BQR17" s="42"/>
      <c r="BQS17" s="42"/>
      <c r="BQT17" s="42"/>
      <c r="BQU17" s="42"/>
      <c r="BQV17" s="42"/>
      <c r="BQW17" s="42"/>
      <c r="BQX17" s="42"/>
      <c r="BQY17" s="42"/>
      <c r="BQZ17" s="42"/>
      <c r="BRA17" s="42"/>
      <c r="BRB17" s="42"/>
      <c r="BRC17" s="42"/>
      <c r="BRD17" s="42"/>
      <c r="BRE17" s="42"/>
      <c r="BRF17" s="42"/>
      <c r="BRG17" s="42"/>
      <c r="BRH17" s="42"/>
      <c r="BRI17" s="42"/>
      <c r="BRJ17" s="42"/>
      <c r="BRK17" s="42"/>
      <c r="BRL17" s="42"/>
      <c r="BRM17" s="42"/>
      <c r="BRN17" s="42"/>
      <c r="BRO17" s="42"/>
      <c r="BRP17" s="42"/>
      <c r="BRQ17" s="42"/>
      <c r="BRR17" s="42"/>
      <c r="BRS17" s="42"/>
      <c r="BRT17" s="42"/>
      <c r="BRU17" s="42"/>
      <c r="BRV17" s="42"/>
      <c r="BRW17" s="42"/>
      <c r="BRX17" s="42"/>
      <c r="BRY17" s="42"/>
      <c r="BRZ17" s="42"/>
      <c r="BSA17" s="42"/>
      <c r="BSB17" s="42"/>
      <c r="BSC17" s="42"/>
      <c r="BSD17" s="42"/>
    </row>
    <row r="18" spans="1:1850" ht="15" customHeight="1" collapsed="1">
      <c r="A18" s="46" t="s">
        <v>15</v>
      </c>
      <c r="B18" s="44"/>
      <c r="C18" s="47">
        <f>C13</f>
        <v>41528</v>
      </c>
      <c r="D18" s="48">
        <f>C18+15</f>
        <v>41543</v>
      </c>
      <c r="E18" s="49" t="str">
        <f t="shared" si="1"/>
        <v>16 days</v>
      </c>
      <c r="F18" s="50"/>
      <c r="G18" s="51"/>
      <c r="H18" s="51"/>
      <c r="I18" s="51"/>
      <c r="J18" s="51"/>
      <c r="K18" s="51"/>
      <c r="L18" s="52"/>
      <c r="M18" s="52"/>
      <c r="N18" s="52"/>
      <c r="O18" s="52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2"/>
      <c r="CM18" s="52"/>
      <c r="CN18" s="52"/>
      <c r="CO18" s="52"/>
      <c r="CP18" s="52"/>
      <c r="CQ18" s="52"/>
      <c r="CR18" s="54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55"/>
      <c r="NK18" s="55"/>
      <c r="NL18" s="55"/>
      <c r="NM18" s="55"/>
      <c r="NN18" s="55"/>
      <c r="NO18" s="55"/>
      <c r="NP18" s="55"/>
      <c r="NQ18" s="55"/>
      <c r="NR18" s="55"/>
      <c r="NS18" s="55"/>
      <c r="NT18" s="55"/>
      <c r="NU18" s="55"/>
      <c r="NV18" s="55"/>
      <c r="NW18" s="55"/>
      <c r="NX18" s="55"/>
      <c r="NY18" s="55"/>
      <c r="NZ18" s="55"/>
      <c r="OA18" s="55"/>
      <c r="OB18" s="55"/>
      <c r="OC18" s="55"/>
      <c r="OD18" s="55"/>
      <c r="OE18" s="55"/>
      <c r="OF18" s="55"/>
      <c r="OG18" s="55"/>
      <c r="OH18" s="55"/>
      <c r="OI18" s="55"/>
      <c r="OJ18" s="55"/>
      <c r="OK18" s="55"/>
      <c r="OL18" s="55"/>
      <c r="OM18" s="55"/>
      <c r="ON18" s="55"/>
      <c r="OO18" s="55"/>
      <c r="OP18" s="55"/>
      <c r="OQ18" s="55"/>
      <c r="OR18" s="55"/>
      <c r="OS18" s="55"/>
      <c r="OT18" s="55"/>
      <c r="OU18" s="55"/>
      <c r="OV18" s="55"/>
      <c r="OW18" s="55"/>
      <c r="OX18" s="55"/>
      <c r="OY18" s="55"/>
      <c r="OZ18" s="55"/>
      <c r="PA18" s="55"/>
      <c r="PB18" s="55"/>
      <c r="PC18" s="55"/>
      <c r="PD18" s="55"/>
      <c r="PE18" s="55"/>
      <c r="PF18" s="55"/>
      <c r="PG18" s="55"/>
      <c r="PH18" s="55"/>
      <c r="PI18" s="55"/>
      <c r="PJ18" s="55"/>
      <c r="PK18" s="55"/>
      <c r="PL18" s="55"/>
      <c r="PM18" s="55"/>
      <c r="PN18" s="55"/>
      <c r="PO18" s="55"/>
      <c r="PP18" s="55"/>
      <c r="PQ18" s="55"/>
      <c r="PR18" s="55"/>
      <c r="PS18" s="55"/>
      <c r="PT18" s="55"/>
      <c r="PU18" s="55"/>
      <c r="PV18" s="55"/>
      <c r="PW18" s="55"/>
      <c r="PX18" s="55"/>
      <c r="PY18" s="55"/>
      <c r="PZ18" s="55"/>
      <c r="QA18" s="55"/>
      <c r="QB18" s="55"/>
      <c r="QC18" s="55"/>
      <c r="QD18" s="55"/>
      <c r="QE18" s="55"/>
      <c r="QF18" s="55"/>
      <c r="QG18" s="55"/>
      <c r="QH18" s="55"/>
      <c r="QI18" s="55"/>
      <c r="QJ18" s="55"/>
      <c r="QK18" s="55"/>
      <c r="QL18" s="55"/>
      <c r="QM18" s="55"/>
      <c r="QN18" s="55"/>
      <c r="QO18" s="55"/>
      <c r="QP18" s="55"/>
      <c r="QQ18" s="55"/>
      <c r="QR18" s="55"/>
      <c r="QS18" s="55"/>
      <c r="QT18" s="55"/>
      <c r="QU18" s="55"/>
      <c r="QV18" s="55"/>
      <c r="QW18" s="55"/>
      <c r="QX18" s="55"/>
      <c r="QY18" s="55"/>
      <c r="QZ18" s="55"/>
      <c r="RA18" s="55"/>
      <c r="RB18" s="55"/>
      <c r="RC18" s="55"/>
      <c r="RD18" s="55"/>
      <c r="RE18" s="55"/>
      <c r="RF18" s="55"/>
      <c r="RG18" s="55"/>
      <c r="RH18" s="55"/>
      <c r="RI18" s="55"/>
      <c r="RJ18" s="55"/>
      <c r="RK18" s="55"/>
      <c r="RL18" s="55"/>
      <c r="RM18" s="55"/>
      <c r="RN18" s="55"/>
      <c r="RO18" s="55"/>
      <c r="RP18" s="55"/>
      <c r="RQ18" s="55"/>
      <c r="RR18" s="55"/>
      <c r="RS18" s="55"/>
      <c r="RT18" s="55"/>
      <c r="RU18" s="55"/>
      <c r="RV18" s="55"/>
      <c r="RW18" s="55"/>
      <c r="RX18" s="55"/>
      <c r="RY18" s="55"/>
      <c r="RZ18" s="55"/>
      <c r="SA18" s="55"/>
      <c r="SB18" s="55"/>
      <c r="SC18" s="55"/>
      <c r="SD18" s="55"/>
      <c r="SE18" s="55"/>
      <c r="SF18" s="55"/>
      <c r="SG18" s="55"/>
      <c r="SH18" s="55"/>
      <c r="SI18" s="55"/>
      <c r="SJ18" s="55"/>
      <c r="SK18" s="55"/>
      <c r="SL18" s="55"/>
      <c r="SM18" s="55"/>
      <c r="SN18" s="55"/>
      <c r="SO18" s="55"/>
      <c r="SP18" s="55"/>
      <c r="SQ18" s="55"/>
      <c r="SR18" s="55"/>
      <c r="SS18" s="55"/>
      <c r="ST18" s="55"/>
      <c r="SU18" s="55"/>
      <c r="SV18" s="55"/>
      <c r="SW18" s="55"/>
      <c r="SX18" s="55"/>
      <c r="SY18" s="55"/>
      <c r="SZ18" s="55"/>
      <c r="TA18" s="55"/>
      <c r="TB18" s="55"/>
      <c r="TC18" s="55"/>
      <c r="TD18" s="55"/>
      <c r="TE18" s="55"/>
      <c r="TF18" s="55"/>
      <c r="TG18" s="55"/>
      <c r="TH18" s="55"/>
      <c r="TI18" s="55"/>
      <c r="TJ18" s="55"/>
      <c r="TK18" s="55"/>
      <c r="TL18" s="55"/>
      <c r="TM18" s="55"/>
      <c r="TN18" s="55"/>
      <c r="TO18" s="55"/>
      <c r="TP18" s="55"/>
      <c r="TQ18" s="55"/>
      <c r="TR18" s="55"/>
      <c r="TS18" s="55"/>
      <c r="TT18" s="55"/>
      <c r="TU18" s="55"/>
      <c r="TV18" s="55"/>
      <c r="TW18" s="55"/>
      <c r="TX18" s="55"/>
      <c r="TY18" s="55"/>
      <c r="TZ18" s="55"/>
      <c r="UA18" s="55"/>
      <c r="UB18" s="55"/>
      <c r="UC18" s="55"/>
      <c r="UD18" s="55"/>
      <c r="UE18" s="55"/>
      <c r="UF18" s="55"/>
      <c r="UG18" s="55"/>
      <c r="UH18" s="55"/>
      <c r="UI18" s="55"/>
      <c r="UJ18" s="55"/>
      <c r="UK18" s="55"/>
      <c r="UL18" s="55"/>
      <c r="UM18" s="55"/>
      <c r="UN18" s="55"/>
      <c r="UO18" s="55"/>
      <c r="UP18" s="55"/>
      <c r="UQ18" s="55"/>
      <c r="UR18" s="55"/>
      <c r="US18" s="55"/>
      <c r="UT18" s="55"/>
      <c r="UU18" s="55"/>
      <c r="UV18" s="55"/>
      <c r="UW18" s="55"/>
      <c r="UX18" s="55"/>
      <c r="UY18" s="55"/>
      <c r="UZ18" s="55"/>
      <c r="VA18" s="55"/>
      <c r="VB18" s="55"/>
      <c r="VC18" s="55"/>
      <c r="VD18" s="55"/>
      <c r="VE18" s="55"/>
      <c r="VF18" s="55"/>
      <c r="VG18" s="55"/>
      <c r="VH18" s="55"/>
      <c r="VI18" s="55"/>
      <c r="VJ18" s="55"/>
      <c r="VK18" s="55"/>
      <c r="VL18" s="55"/>
      <c r="VM18" s="55"/>
      <c r="VN18" s="55"/>
      <c r="VO18" s="55"/>
      <c r="VP18" s="55"/>
      <c r="VQ18" s="55"/>
      <c r="VR18" s="55"/>
      <c r="VS18" s="55"/>
      <c r="VT18" s="55"/>
      <c r="VU18" s="55"/>
      <c r="VV18" s="55"/>
      <c r="VW18" s="55"/>
      <c r="VX18" s="55"/>
      <c r="VY18" s="55"/>
      <c r="VZ18" s="55"/>
      <c r="WA18" s="55"/>
      <c r="WB18" s="55"/>
      <c r="WC18" s="55"/>
      <c r="WD18" s="55"/>
      <c r="WE18" s="55"/>
      <c r="WF18" s="55"/>
      <c r="WG18" s="55"/>
      <c r="WH18" s="55"/>
      <c r="WI18" s="55"/>
      <c r="WJ18" s="55"/>
      <c r="WK18" s="55"/>
      <c r="WL18" s="55"/>
      <c r="WM18" s="55"/>
      <c r="WN18" s="55"/>
      <c r="WO18" s="55"/>
      <c r="WP18" s="55"/>
      <c r="WQ18" s="55"/>
      <c r="WR18" s="55"/>
      <c r="WS18" s="55"/>
      <c r="WT18" s="55"/>
      <c r="WU18" s="55"/>
      <c r="WV18" s="55"/>
      <c r="WW18" s="55"/>
      <c r="WX18" s="55"/>
      <c r="WY18" s="55"/>
      <c r="WZ18" s="55"/>
      <c r="XA18" s="55"/>
      <c r="XB18" s="55"/>
      <c r="XC18" s="55"/>
      <c r="XD18" s="55"/>
      <c r="XE18" s="55"/>
      <c r="XF18" s="55"/>
      <c r="XG18" s="55"/>
      <c r="XH18" s="55"/>
      <c r="XI18" s="55"/>
      <c r="XJ18" s="55"/>
      <c r="XK18" s="55"/>
      <c r="XL18" s="55"/>
      <c r="XM18" s="55"/>
      <c r="XN18" s="55"/>
      <c r="XO18" s="55"/>
      <c r="XP18" s="55"/>
      <c r="XQ18" s="55"/>
      <c r="XR18" s="55"/>
      <c r="XS18" s="55"/>
      <c r="XT18" s="55"/>
      <c r="XU18" s="55"/>
      <c r="XV18" s="55"/>
      <c r="XW18" s="55"/>
      <c r="XX18" s="55"/>
      <c r="XY18" s="55"/>
      <c r="XZ18" s="55"/>
      <c r="YA18" s="55"/>
      <c r="YB18" s="55"/>
      <c r="YC18" s="55"/>
      <c r="YD18" s="55"/>
      <c r="YE18" s="55"/>
      <c r="YF18" s="55"/>
      <c r="YG18" s="55"/>
      <c r="YH18" s="55"/>
      <c r="YI18" s="55"/>
      <c r="YJ18" s="55"/>
      <c r="YK18" s="55"/>
      <c r="YL18" s="55"/>
      <c r="YM18" s="55"/>
      <c r="YN18" s="55"/>
      <c r="YO18" s="55"/>
      <c r="YP18" s="55"/>
      <c r="YQ18" s="55"/>
      <c r="YR18" s="55"/>
      <c r="YS18" s="55"/>
      <c r="YT18" s="55"/>
      <c r="YU18" s="55"/>
      <c r="YV18" s="55"/>
      <c r="YW18" s="55"/>
      <c r="YX18" s="55"/>
      <c r="YY18" s="55"/>
      <c r="YZ18" s="55"/>
      <c r="ZA18" s="55"/>
      <c r="ZB18" s="55"/>
      <c r="ZC18" s="55"/>
      <c r="ZD18" s="55"/>
      <c r="ZE18" s="55"/>
      <c r="ZF18" s="55"/>
      <c r="ZG18" s="55"/>
      <c r="ZH18" s="55"/>
      <c r="ZI18" s="55"/>
      <c r="ZJ18" s="55"/>
      <c r="ZK18" s="55"/>
      <c r="ZL18" s="55"/>
      <c r="ZM18" s="55"/>
      <c r="ZN18" s="55"/>
      <c r="ZO18" s="55"/>
      <c r="ZP18" s="55"/>
      <c r="ZQ18" s="55"/>
      <c r="ZR18" s="55"/>
      <c r="ZS18" s="55"/>
      <c r="ZT18" s="55"/>
      <c r="ZU18" s="55"/>
      <c r="ZV18" s="55"/>
      <c r="ZW18" s="55"/>
      <c r="ZX18" s="55"/>
      <c r="ZY18" s="55"/>
      <c r="ZZ18" s="55"/>
      <c r="AAA18" s="55"/>
      <c r="AAB18" s="55"/>
      <c r="AAC18" s="55"/>
      <c r="AAD18" s="55"/>
      <c r="AAE18" s="55"/>
      <c r="AAF18" s="55"/>
      <c r="AAG18" s="55"/>
      <c r="AAH18" s="55"/>
      <c r="AAI18" s="55"/>
      <c r="AAJ18" s="55"/>
      <c r="AAK18" s="55"/>
      <c r="AAL18" s="55"/>
      <c r="AAM18" s="55"/>
      <c r="AAN18" s="55"/>
      <c r="AAO18" s="55"/>
      <c r="AAP18" s="55"/>
      <c r="AAQ18" s="55"/>
      <c r="AAR18" s="55"/>
      <c r="AAS18" s="55"/>
      <c r="AAT18" s="55"/>
      <c r="AAU18" s="55"/>
      <c r="AAV18" s="55"/>
      <c r="AAW18" s="55"/>
      <c r="AAX18" s="55"/>
      <c r="AAY18" s="55"/>
      <c r="AAZ18" s="55"/>
      <c r="ABA18" s="55"/>
      <c r="ABB18" s="55"/>
      <c r="ABC18" s="55"/>
      <c r="ABD18" s="55"/>
      <c r="ABE18" s="55"/>
      <c r="ABF18" s="55"/>
      <c r="ABG18" s="55"/>
      <c r="ABH18" s="55"/>
      <c r="ABI18" s="55"/>
      <c r="ABJ18" s="55"/>
      <c r="ABK18" s="55"/>
      <c r="ABL18" s="55"/>
      <c r="ABM18" s="55"/>
      <c r="ABN18" s="55"/>
      <c r="ABO18" s="55"/>
      <c r="ABP18" s="55"/>
      <c r="ABQ18" s="55"/>
      <c r="ABR18" s="55"/>
      <c r="ABS18" s="55"/>
      <c r="ABT18" s="55"/>
      <c r="ABU18" s="55"/>
      <c r="ABV18" s="55"/>
      <c r="ABW18" s="55"/>
      <c r="ABX18" s="55"/>
      <c r="ABY18" s="55"/>
      <c r="ABZ18" s="55"/>
      <c r="ACA18" s="55"/>
      <c r="ACB18" s="55"/>
      <c r="ACC18" s="55"/>
      <c r="ACD18" s="55"/>
      <c r="ACE18" s="55"/>
      <c r="ACF18" s="55"/>
      <c r="ACG18" s="55"/>
      <c r="ACH18" s="55"/>
      <c r="ACI18" s="55"/>
      <c r="ACJ18" s="55"/>
      <c r="ACK18" s="55"/>
      <c r="ACL18" s="55"/>
      <c r="ACM18" s="55"/>
      <c r="ACN18" s="55"/>
      <c r="ACO18" s="55"/>
      <c r="ACP18" s="55"/>
      <c r="ACQ18" s="55"/>
      <c r="ACR18" s="55"/>
      <c r="ACS18" s="55"/>
      <c r="ACT18" s="55"/>
      <c r="ACU18" s="55"/>
      <c r="ACV18" s="55"/>
      <c r="ACW18" s="55"/>
      <c r="ACX18" s="55"/>
      <c r="ACY18" s="55"/>
      <c r="ACZ18" s="55"/>
      <c r="ADA18" s="55"/>
      <c r="ADB18" s="55"/>
      <c r="ADC18" s="55"/>
      <c r="ADD18" s="55"/>
      <c r="ADE18" s="55"/>
      <c r="ADF18" s="55"/>
      <c r="ADG18" s="55"/>
      <c r="ADH18" s="55"/>
      <c r="ADI18" s="55"/>
      <c r="ADJ18" s="55"/>
      <c r="ADK18" s="55"/>
      <c r="ADL18" s="55"/>
      <c r="ADM18" s="55"/>
      <c r="ADN18" s="55"/>
      <c r="ADO18" s="55"/>
      <c r="ADP18" s="55"/>
      <c r="ADQ18" s="55"/>
      <c r="ADR18" s="55"/>
      <c r="ADS18" s="55"/>
      <c r="ADT18" s="55"/>
      <c r="ADU18" s="55"/>
      <c r="ADV18" s="55"/>
      <c r="ADW18" s="55"/>
      <c r="ADX18" s="55"/>
      <c r="ADY18" s="55"/>
      <c r="ADZ18" s="55"/>
      <c r="AEA18" s="55"/>
      <c r="AEB18" s="55"/>
      <c r="AEC18" s="55"/>
      <c r="AED18" s="55"/>
      <c r="AEE18" s="55"/>
      <c r="AEF18" s="55"/>
      <c r="AEG18" s="55"/>
      <c r="AEH18" s="55"/>
      <c r="AEI18" s="55"/>
      <c r="AEJ18" s="55"/>
      <c r="AEK18" s="55"/>
      <c r="AEL18" s="55"/>
      <c r="AEM18" s="55"/>
      <c r="AEN18" s="55"/>
      <c r="AEO18" s="55"/>
      <c r="AEP18" s="55"/>
      <c r="AEQ18" s="55"/>
      <c r="AER18" s="55"/>
      <c r="AES18" s="55"/>
      <c r="AET18" s="55"/>
      <c r="AEU18" s="55"/>
      <c r="AEV18" s="55"/>
      <c r="AEW18" s="55"/>
      <c r="AEX18" s="55"/>
      <c r="AEY18" s="55"/>
      <c r="AEZ18" s="55"/>
      <c r="AFA18" s="55"/>
      <c r="AFB18" s="55"/>
      <c r="AFC18" s="55"/>
      <c r="AFD18" s="55"/>
      <c r="AFE18" s="55"/>
      <c r="AFF18" s="55"/>
      <c r="AFG18" s="55"/>
      <c r="AFH18" s="55"/>
      <c r="AFI18" s="55"/>
      <c r="AFJ18" s="55"/>
      <c r="AFK18" s="55"/>
      <c r="AFL18" s="55"/>
      <c r="AFM18" s="55"/>
      <c r="AFN18" s="55"/>
      <c r="AFO18" s="55"/>
      <c r="AFP18" s="55"/>
      <c r="AFQ18" s="55"/>
      <c r="AFR18" s="55"/>
      <c r="AFS18" s="55"/>
      <c r="AFT18" s="55"/>
      <c r="AFU18" s="55"/>
      <c r="AFV18" s="55"/>
      <c r="AFW18" s="55"/>
      <c r="AFX18" s="55"/>
      <c r="AFY18" s="55"/>
      <c r="AFZ18" s="55"/>
      <c r="AGA18" s="55"/>
      <c r="AGB18" s="55"/>
      <c r="AGC18" s="55"/>
      <c r="AGD18" s="55"/>
      <c r="AGE18" s="55"/>
      <c r="AGF18" s="55"/>
      <c r="AGG18" s="55"/>
      <c r="AGH18" s="55"/>
      <c r="AGI18" s="55"/>
      <c r="AGJ18" s="55"/>
      <c r="AGK18" s="55"/>
      <c r="AGL18" s="55"/>
      <c r="AGM18" s="55"/>
      <c r="AGN18" s="55"/>
      <c r="AGO18" s="55"/>
      <c r="AGP18" s="55"/>
      <c r="AGQ18" s="55"/>
      <c r="AGR18" s="55"/>
      <c r="AGS18" s="55"/>
      <c r="AGT18" s="55"/>
      <c r="AGU18" s="55"/>
      <c r="AGV18" s="55"/>
      <c r="AGW18" s="55"/>
      <c r="AGX18" s="55"/>
      <c r="AGY18" s="55"/>
      <c r="AGZ18" s="55"/>
      <c r="AHA18" s="55"/>
      <c r="AHB18" s="55"/>
      <c r="AHC18" s="55"/>
      <c r="AHD18" s="55"/>
      <c r="AHE18" s="55"/>
      <c r="AHF18" s="55"/>
      <c r="AHG18" s="55"/>
      <c r="AHH18" s="55"/>
      <c r="AHI18" s="55"/>
      <c r="AHJ18" s="55"/>
      <c r="AHK18" s="55"/>
      <c r="AHL18" s="55"/>
      <c r="AHM18" s="55"/>
      <c r="AHN18" s="55"/>
      <c r="AHO18" s="55"/>
      <c r="AHP18" s="55"/>
      <c r="AHQ18" s="55"/>
      <c r="AHR18" s="55"/>
      <c r="AHS18" s="55"/>
      <c r="AHT18" s="55"/>
      <c r="AHU18" s="55"/>
      <c r="AHV18" s="55"/>
      <c r="AHW18" s="55"/>
      <c r="AHX18" s="55"/>
      <c r="AHY18" s="55"/>
      <c r="AHZ18" s="55"/>
      <c r="AIA18" s="55"/>
      <c r="AIB18" s="55"/>
      <c r="AIC18" s="55"/>
      <c r="AID18" s="55"/>
      <c r="AIE18" s="55"/>
      <c r="AIF18" s="55"/>
      <c r="AIG18" s="55"/>
      <c r="AIH18" s="55"/>
      <c r="AII18" s="55"/>
      <c r="AIJ18" s="55"/>
      <c r="AIK18" s="55"/>
      <c r="AIL18" s="55"/>
      <c r="AIM18" s="55"/>
      <c r="AIN18" s="55"/>
      <c r="AIO18" s="55"/>
      <c r="AIP18" s="55"/>
      <c r="AIQ18" s="55"/>
      <c r="AIR18" s="55"/>
      <c r="AIS18" s="55"/>
      <c r="AIT18" s="55"/>
      <c r="AIU18" s="55"/>
      <c r="AIV18" s="55"/>
      <c r="AIW18" s="55"/>
      <c r="AIX18" s="55"/>
      <c r="AIY18" s="55"/>
      <c r="AIZ18" s="55"/>
      <c r="AJA18" s="55"/>
      <c r="AJB18" s="55"/>
      <c r="AJC18" s="55"/>
      <c r="AJD18" s="55"/>
      <c r="AJE18" s="55"/>
      <c r="AJF18" s="55"/>
      <c r="AJG18" s="55"/>
      <c r="AJH18" s="55"/>
      <c r="AJI18" s="55"/>
      <c r="AJJ18" s="55"/>
      <c r="AJK18" s="55"/>
      <c r="AJL18" s="55"/>
      <c r="AJM18" s="55"/>
      <c r="AJN18" s="55"/>
      <c r="AJO18" s="55"/>
      <c r="AJP18" s="55"/>
      <c r="AJQ18" s="55"/>
      <c r="AJR18" s="55"/>
      <c r="AJS18" s="55"/>
      <c r="AJT18" s="55"/>
      <c r="AJU18" s="55"/>
      <c r="AJV18" s="55"/>
      <c r="AJW18" s="55"/>
      <c r="AJX18" s="55"/>
      <c r="AJY18" s="55"/>
      <c r="AJZ18" s="55"/>
      <c r="AKA18" s="55"/>
      <c r="AKB18" s="55"/>
      <c r="AKC18" s="55"/>
      <c r="AKD18" s="55"/>
      <c r="AKE18" s="55"/>
      <c r="AKF18" s="55"/>
      <c r="AKG18" s="55"/>
      <c r="AKH18" s="55"/>
      <c r="AKI18" s="55"/>
      <c r="AKJ18" s="55"/>
      <c r="AKK18" s="55"/>
      <c r="AKL18" s="55"/>
      <c r="AKM18" s="55"/>
      <c r="AKN18" s="55"/>
      <c r="AKO18" s="55"/>
      <c r="AKP18" s="55"/>
      <c r="AKQ18" s="55"/>
      <c r="AKR18" s="55"/>
      <c r="AKS18" s="55"/>
      <c r="AKT18" s="55"/>
      <c r="AKU18" s="55"/>
      <c r="AKV18" s="55"/>
      <c r="AKW18" s="55"/>
      <c r="AKX18" s="55"/>
      <c r="AKY18" s="55"/>
      <c r="AKZ18" s="55"/>
      <c r="ALA18" s="55"/>
      <c r="ALB18" s="55"/>
      <c r="ALC18" s="55"/>
      <c r="ALD18" s="55"/>
      <c r="ALE18" s="55"/>
      <c r="ALF18" s="55"/>
      <c r="ALG18" s="55"/>
      <c r="ALH18" s="55"/>
      <c r="ALI18" s="55"/>
      <c r="ALJ18" s="55"/>
      <c r="ALK18" s="55"/>
      <c r="ALL18" s="55"/>
      <c r="ALM18" s="55"/>
      <c r="ALN18" s="55"/>
      <c r="ALO18" s="55"/>
      <c r="ALP18" s="55"/>
      <c r="ALQ18" s="55"/>
      <c r="ALR18" s="55"/>
      <c r="ALS18" s="55"/>
      <c r="ALT18" s="55"/>
      <c r="ALU18" s="55"/>
      <c r="ALV18" s="55"/>
      <c r="ALW18" s="55"/>
      <c r="ALX18" s="55"/>
      <c r="ALY18" s="55"/>
      <c r="ALZ18" s="55"/>
      <c r="AMA18" s="55"/>
      <c r="AMB18" s="55"/>
      <c r="AMC18" s="55"/>
      <c r="AMD18" s="55"/>
      <c r="AME18" s="55"/>
      <c r="AMF18" s="55"/>
      <c r="AMG18" s="55"/>
      <c r="AMH18" s="55"/>
      <c r="AMI18" s="55"/>
      <c r="AMJ18" s="55"/>
      <c r="AMK18" s="55"/>
      <c r="AML18" s="55"/>
      <c r="AMM18" s="55"/>
      <c r="AMN18" s="55"/>
      <c r="AMO18" s="55"/>
      <c r="AMP18" s="55"/>
      <c r="AMQ18" s="55"/>
      <c r="AMR18" s="55"/>
      <c r="AMS18" s="55"/>
      <c r="AMT18" s="55"/>
      <c r="AMU18" s="55"/>
      <c r="AMV18" s="55"/>
      <c r="AMW18" s="55"/>
      <c r="AMX18" s="55"/>
      <c r="AMY18" s="55"/>
      <c r="AMZ18" s="55"/>
      <c r="ANA18" s="55"/>
      <c r="ANB18" s="55"/>
      <c r="ANC18" s="55"/>
      <c r="AND18" s="55"/>
      <c r="ANE18" s="55"/>
      <c r="ANF18" s="55"/>
      <c r="ANG18" s="55"/>
      <c r="ANH18" s="55"/>
      <c r="ANI18" s="55"/>
      <c r="ANJ18" s="55"/>
      <c r="ANK18" s="55"/>
      <c r="ANL18" s="55"/>
      <c r="ANM18" s="55"/>
      <c r="ANN18" s="55"/>
      <c r="ANO18" s="55"/>
      <c r="ANP18" s="55"/>
      <c r="ANQ18" s="55"/>
      <c r="ANR18" s="55"/>
      <c r="ANS18" s="55"/>
      <c r="ANT18" s="55"/>
      <c r="ANU18" s="55"/>
      <c r="ANV18" s="55"/>
      <c r="ANW18" s="55"/>
      <c r="ANX18" s="55"/>
      <c r="ANY18" s="55"/>
      <c r="ANZ18" s="55"/>
      <c r="AOA18" s="55"/>
      <c r="AOB18" s="55"/>
      <c r="AOC18" s="55"/>
      <c r="AOD18" s="55"/>
      <c r="AOE18" s="55"/>
      <c r="AOF18" s="55"/>
      <c r="AOG18" s="55"/>
      <c r="AOH18" s="55"/>
      <c r="AOI18" s="55"/>
      <c r="AOJ18" s="55"/>
      <c r="AOK18" s="55"/>
      <c r="AOL18" s="55"/>
      <c r="AOM18" s="55"/>
      <c r="AON18" s="55"/>
      <c r="AOO18" s="55"/>
      <c r="AOP18" s="55"/>
      <c r="AOQ18" s="55"/>
      <c r="AOR18" s="55"/>
      <c r="AOS18" s="55"/>
      <c r="AOT18" s="55"/>
      <c r="AOU18" s="55"/>
      <c r="AOV18" s="55"/>
      <c r="AOW18" s="55"/>
      <c r="AOX18" s="55"/>
      <c r="AOY18" s="55"/>
      <c r="AOZ18" s="55"/>
      <c r="APA18" s="55"/>
      <c r="APB18" s="55"/>
      <c r="APC18" s="55"/>
      <c r="APD18" s="55"/>
      <c r="APE18" s="55"/>
      <c r="APF18" s="55"/>
      <c r="APG18" s="55"/>
      <c r="APH18" s="55"/>
      <c r="API18" s="55"/>
      <c r="APJ18" s="55"/>
      <c r="APK18" s="55"/>
      <c r="APL18" s="55"/>
      <c r="APM18" s="55"/>
      <c r="APN18" s="55"/>
      <c r="APO18" s="55"/>
      <c r="APP18" s="55"/>
      <c r="APQ18" s="55"/>
      <c r="APR18" s="55"/>
      <c r="APS18" s="55"/>
      <c r="APT18" s="55"/>
      <c r="APU18" s="55"/>
      <c r="APV18" s="55"/>
      <c r="APW18" s="55"/>
      <c r="APX18" s="55"/>
      <c r="APY18" s="55"/>
      <c r="APZ18" s="55"/>
      <c r="AQA18" s="55"/>
      <c r="AQB18" s="55"/>
      <c r="AQC18" s="55"/>
      <c r="AQD18" s="55"/>
      <c r="AQE18" s="55"/>
      <c r="AQF18" s="55"/>
      <c r="AQG18" s="55"/>
      <c r="AQH18" s="55"/>
      <c r="AQI18" s="55"/>
      <c r="AQJ18" s="55"/>
      <c r="AQK18" s="55"/>
      <c r="AQL18" s="55"/>
      <c r="AQM18" s="55"/>
      <c r="AQN18" s="55"/>
      <c r="AQO18" s="55"/>
      <c r="AQP18" s="55"/>
      <c r="AQQ18" s="55"/>
      <c r="AQR18" s="55"/>
      <c r="AQS18" s="55"/>
      <c r="AQT18" s="55"/>
      <c r="AQU18" s="55"/>
      <c r="AQV18" s="55"/>
      <c r="AQW18" s="55"/>
      <c r="AQX18" s="55"/>
      <c r="AQY18" s="55"/>
      <c r="AQZ18" s="55"/>
      <c r="ARA18" s="55"/>
      <c r="ARB18" s="55"/>
      <c r="ARC18" s="55"/>
      <c r="ARD18" s="55"/>
      <c r="ARE18" s="55"/>
      <c r="ARF18" s="55"/>
      <c r="ARG18" s="55"/>
      <c r="ARH18" s="55"/>
      <c r="ARI18" s="55"/>
      <c r="ARJ18" s="55"/>
      <c r="ARK18" s="55"/>
      <c r="ARL18" s="55"/>
      <c r="ARM18" s="55"/>
      <c r="ARN18" s="55"/>
      <c r="ARO18" s="55"/>
      <c r="ARP18" s="55"/>
      <c r="ARQ18" s="55"/>
      <c r="ARR18" s="55"/>
      <c r="ARS18" s="55"/>
      <c r="ART18" s="55"/>
      <c r="ARU18" s="55"/>
      <c r="ARV18" s="55"/>
      <c r="ARW18" s="55"/>
      <c r="ARX18" s="55"/>
      <c r="ARY18" s="55"/>
      <c r="ARZ18" s="55"/>
      <c r="ASA18" s="55"/>
      <c r="ASB18" s="55"/>
      <c r="ASC18" s="55"/>
      <c r="ASD18" s="55"/>
      <c r="ASE18" s="55"/>
      <c r="ASF18" s="55"/>
      <c r="ASG18" s="55"/>
      <c r="ASH18" s="55"/>
      <c r="ASI18" s="55"/>
      <c r="ASJ18" s="55"/>
      <c r="ASK18" s="55"/>
      <c r="ASL18" s="55"/>
      <c r="ASM18" s="55"/>
      <c r="ASN18" s="55"/>
      <c r="ASO18" s="55"/>
      <c r="ASP18" s="55"/>
      <c r="ASQ18" s="55"/>
      <c r="ASR18" s="55"/>
      <c r="ASS18" s="55"/>
      <c r="AST18" s="55"/>
      <c r="ASU18" s="55"/>
      <c r="ASV18" s="55"/>
      <c r="ASW18" s="55"/>
      <c r="ASX18" s="55"/>
      <c r="ASY18" s="55"/>
      <c r="ASZ18" s="55"/>
      <c r="ATA18" s="55"/>
      <c r="ATB18" s="55"/>
      <c r="ATC18" s="55"/>
      <c r="ATD18" s="55"/>
      <c r="ATE18" s="55"/>
      <c r="ATF18" s="55"/>
      <c r="ATG18" s="55"/>
      <c r="ATH18" s="55"/>
      <c r="ATI18" s="55"/>
      <c r="ATJ18" s="55"/>
      <c r="ATK18" s="55"/>
      <c r="ATL18" s="55"/>
      <c r="ATM18" s="55"/>
      <c r="ATN18" s="55"/>
      <c r="ATO18" s="55"/>
      <c r="ATP18" s="55"/>
      <c r="ATQ18" s="55"/>
      <c r="ATR18" s="55"/>
      <c r="ATS18" s="55"/>
      <c r="ATT18" s="55"/>
      <c r="ATU18" s="55"/>
      <c r="ATV18" s="55"/>
      <c r="ATW18" s="55"/>
      <c r="ATX18" s="55"/>
      <c r="ATY18" s="55"/>
      <c r="ATZ18" s="55"/>
      <c r="AUA18" s="55"/>
      <c r="AUB18" s="55"/>
      <c r="AUC18" s="55"/>
      <c r="AUD18" s="55"/>
      <c r="AUE18" s="55"/>
      <c r="AUF18" s="55"/>
      <c r="AUG18" s="55"/>
      <c r="AUH18" s="55"/>
      <c r="AUI18" s="55"/>
      <c r="AUJ18" s="55"/>
      <c r="AUK18" s="55"/>
      <c r="AUL18" s="55"/>
      <c r="AUM18" s="55"/>
      <c r="AUN18" s="55"/>
      <c r="AUO18" s="55"/>
      <c r="AUP18" s="55"/>
      <c r="AUQ18" s="55"/>
      <c r="AUR18" s="55"/>
      <c r="AUS18" s="55"/>
      <c r="AUT18" s="55"/>
      <c r="AUU18" s="55"/>
      <c r="AUV18" s="55"/>
      <c r="AUW18" s="55"/>
      <c r="AUX18" s="55"/>
      <c r="AUY18" s="55"/>
      <c r="AUZ18" s="55"/>
      <c r="AVA18" s="55"/>
      <c r="AVB18" s="55"/>
      <c r="AVC18" s="55"/>
      <c r="AVD18" s="55"/>
      <c r="AVE18" s="55"/>
      <c r="AVF18" s="55"/>
      <c r="AVG18" s="55"/>
      <c r="AVH18" s="55"/>
      <c r="AVI18" s="55"/>
      <c r="AVJ18" s="55"/>
      <c r="AVK18" s="55"/>
      <c r="AVL18" s="55"/>
      <c r="AVM18" s="55"/>
      <c r="AVN18" s="55"/>
      <c r="AVO18" s="55"/>
      <c r="AVP18" s="55"/>
      <c r="AVQ18" s="55"/>
      <c r="AVR18" s="55"/>
      <c r="AVS18" s="55"/>
      <c r="AVT18" s="55"/>
      <c r="AVU18" s="55"/>
      <c r="AVV18" s="55"/>
      <c r="AVW18" s="55"/>
      <c r="AVX18" s="55"/>
      <c r="AVY18" s="55"/>
      <c r="AVZ18" s="55"/>
      <c r="AWA18" s="55"/>
      <c r="AWB18" s="55"/>
      <c r="AWC18" s="55"/>
      <c r="AWD18" s="55"/>
      <c r="AWE18" s="55"/>
      <c r="AWF18" s="55"/>
      <c r="AWG18" s="55"/>
      <c r="AWH18" s="55"/>
      <c r="AWI18" s="55"/>
      <c r="AWJ18" s="55"/>
      <c r="AWK18" s="55"/>
      <c r="AWL18" s="55"/>
      <c r="AWM18" s="55"/>
      <c r="AWN18" s="55"/>
      <c r="AWO18" s="55"/>
      <c r="AWP18" s="55"/>
      <c r="AWQ18" s="55"/>
      <c r="AWR18" s="55"/>
      <c r="AWS18" s="55"/>
      <c r="AWT18" s="55"/>
      <c r="AWU18" s="55"/>
      <c r="AWV18" s="55"/>
      <c r="AWW18" s="55"/>
      <c r="AWX18" s="55"/>
      <c r="AWY18" s="55"/>
      <c r="AWZ18" s="55"/>
      <c r="AXA18" s="55"/>
      <c r="AXB18" s="55"/>
      <c r="AXC18" s="55"/>
      <c r="AXD18" s="55"/>
      <c r="AXE18" s="55"/>
      <c r="AXF18" s="55"/>
      <c r="AXG18" s="55"/>
      <c r="AXH18" s="55"/>
      <c r="AXI18" s="55"/>
      <c r="AXJ18" s="55"/>
      <c r="AXK18" s="55"/>
      <c r="AXL18" s="55"/>
      <c r="AXM18" s="55"/>
      <c r="AXN18" s="55"/>
      <c r="AXO18" s="55"/>
      <c r="AXP18" s="55"/>
      <c r="AXQ18" s="55"/>
      <c r="AXR18" s="55"/>
      <c r="AXS18" s="55"/>
      <c r="AXT18" s="55"/>
      <c r="AXU18" s="55"/>
      <c r="AXV18" s="55"/>
      <c r="AXW18" s="55"/>
      <c r="AXX18" s="55"/>
      <c r="AXY18" s="55"/>
      <c r="AXZ18" s="55"/>
      <c r="AYA18" s="55"/>
      <c r="AYB18" s="55"/>
      <c r="AYC18" s="55"/>
      <c r="AYD18" s="55"/>
      <c r="AYE18" s="55"/>
      <c r="AYF18" s="55"/>
      <c r="AYG18" s="55"/>
      <c r="AYH18" s="55"/>
      <c r="AYI18" s="55"/>
      <c r="AYJ18" s="55"/>
      <c r="AYK18" s="55"/>
      <c r="AYL18" s="55"/>
      <c r="AYM18" s="55"/>
      <c r="AYN18" s="55"/>
      <c r="AYO18" s="55"/>
      <c r="AYP18" s="55"/>
      <c r="AYQ18" s="55"/>
      <c r="AYR18" s="55"/>
      <c r="AYS18" s="55"/>
      <c r="AYT18" s="55"/>
      <c r="AYU18" s="55"/>
      <c r="AYV18" s="55"/>
      <c r="AYW18" s="55"/>
      <c r="AYX18" s="55"/>
      <c r="AYY18" s="55"/>
      <c r="AYZ18" s="55"/>
      <c r="AZA18" s="55"/>
      <c r="AZB18" s="55"/>
      <c r="AZC18" s="55"/>
      <c r="AZD18" s="55"/>
      <c r="AZE18" s="55"/>
      <c r="AZF18" s="55"/>
      <c r="AZG18" s="55"/>
      <c r="AZH18" s="55"/>
      <c r="AZI18" s="55"/>
      <c r="AZJ18" s="55"/>
      <c r="AZK18" s="55"/>
      <c r="AZL18" s="55"/>
      <c r="AZM18" s="55"/>
      <c r="AZN18" s="55"/>
      <c r="AZO18" s="55"/>
      <c r="AZP18" s="55"/>
      <c r="AZQ18" s="55"/>
      <c r="AZR18" s="55"/>
      <c r="AZS18" s="55"/>
      <c r="AZT18" s="55"/>
      <c r="AZU18" s="55"/>
      <c r="AZV18" s="55"/>
      <c r="AZW18" s="55"/>
      <c r="AZX18" s="55"/>
      <c r="AZY18" s="55"/>
      <c r="AZZ18" s="55"/>
      <c r="BAA18" s="55"/>
      <c r="BAB18" s="55"/>
      <c r="BAC18" s="55"/>
      <c r="BAD18" s="55"/>
      <c r="BAE18" s="55"/>
      <c r="BAF18" s="55"/>
      <c r="BAG18" s="55"/>
      <c r="BAH18" s="55"/>
      <c r="BAI18" s="55"/>
      <c r="BAJ18" s="55"/>
      <c r="BAK18" s="55"/>
      <c r="BAL18" s="55"/>
      <c r="BAM18" s="55"/>
      <c r="BAN18" s="55"/>
      <c r="BAO18" s="55"/>
      <c r="BAP18" s="55"/>
      <c r="BAQ18" s="55"/>
      <c r="BAR18" s="55"/>
      <c r="BAS18" s="55"/>
      <c r="BAT18" s="55"/>
      <c r="BAU18" s="55"/>
      <c r="BAV18" s="55"/>
      <c r="BAW18" s="55"/>
      <c r="BAX18" s="55"/>
      <c r="BAY18" s="55"/>
      <c r="BAZ18" s="55"/>
      <c r="BBA18" s="55"/>
      <c r="BBB18" s="55"/>
      <c r="BBC18" s="55"/>
      <c r="BBD18" s="55"/>
      <c r="BBE18" s="55"/>
      <c r="BBF18" s="55"/>
      <c r="BBG18" s="55"/>
      <c r="BBH18" s="55"/>
      <c r="BBI18" s="55"/>
      <c r="BBJ18" s="55"/>
      <c r="BBK18" s="55"/>
      <c r="BBL18" s="55"/>
      <c r="BBM18" s="55"/>
      <c r="BBN18" s="55"/>
      <c r="BBO18" s="55"/>
      <c r="BBP18" s="55"/>
      <c r="BBQ18" s="55"/>
      <c r="BBR18" s="55"/>
      <c r="BBS18" s="55"/>
      <c r="BBT18" s="55"/>
      <c r="BBU18" s="55"/>
      <c r="BBV18" s="55"/>
      <c r="BBW18" s="55"/>
      <c r="BBX18" s="55"/>
      <c r="BBY18" s="55"/>
      <c r="BBZ18" s="55"/>
      <c r="BCA18" s="55"/>
      <c r="BCB18" s="55"/>
      <c r="BCC18" s="55"/>
      <c r="BCD18" s="55"/>
      <c r="BCE18" s="55"/>
      <c r="BCF18" s="55"/>
      <c r="BCG18" s="55"/>
      <c r="BCH18" s="55"/>
      <c r="BCI18" s="55"/>
      <c r="BCJ18" s="55"/>
      <c r="BCK18" s="55"/>
      <c r="BCL18" s="55"/>
      <c r="BCM18" s="55"/>
      <c r="BCN18" s="55"/>
      <c r="BCO18" s="55"/>
      <c r="BCP18" s="55"/>
      <c r="BCQ18" s="55"/>
      <c r="BCR18" s="55"/>
      <c r="BCS18" s="55"/>
      <c r="BCT18" s="55"/>
      <c r="BCU18" s="55"/>
      <c r="BCV18" s="55"/>
      <c r="BCW18" s="55"/>
      <c r="BCX18" s="55"/>
      <c r="BCY18" s="55"/>
      <c r="BCZ18" s="55"/>
      <c r="BDA18" s="55"/>
      <c r="BDB18" s="55"/>
      <c r="BDC18" s="55"/>
      <c r="BDD18" s="55"/>
      <c r="BDE18" s="55"/>
      <c r="BDF18" s="55"/>
      <c r="BDG18" s="55"/>
      <c r="BDH18" s="55"/>
      <c r="BDI18" s="55"/>
      <c r="BDJ18" s="55"/>
      <c r="BDK18" s="55"/>
      <c r="BDL18" s="55"/>
      <c r="BDM18" s="55"/>
      <c r="BDN18" s="55"/>
      <c r="BDO18" s="55"/>
      <c r="BDP18" s="55"/>
      <c r="BDQ18" s="55"/>
      <c r="BDR18" s="55"/>
      <c r="BDS18" s="55"/>
      <c r="BDT18" s="55"/>
      <c r="BDU18" s="55"/>
      <c r="BDV18" s="55"/>
      <c r="BDW18" s="55"/>
      <c r="BDX18" s="55"/>
      <c r="BDY18" s="55"/>
      <c r="BDZ18" s="55"/>
      <c r="BEA18" s="55"/>
      <c r="BEB18" s="55"/>
      <c r="BEC18" s="55"/>
      <c r="BED18" s="55"/>
      <c r="BEE18" s="55"/>
      <c r="BEF18" s="55"/>
      <c r="BEG18" s="55"/>
      <c r="BEH18" s="55"/>
      <c r="BEI18" s="55"/>
      <c r="BEJ18" s="55"/>
      <c r="BEK18" s="55"/>
      <c r="BEL18" s="55"/>
      <c r="BEM18" s="55"/>
      <c r="BEN18" s="55"/>
      <c r="BEO18" s="55"/>
      <c r="BEP18" s="55"/>
      <c r="BEQ18" s="55"/>
      <c r="BER18" s="55"/>
      <c r="BES18" s="55"/>
      <c r="BET18" s="55"/>
      <c r="BEU18" s="55"/>
      <c r="BEV18" s="55"/>
      <c r="BEW18" s="55"/>
      <c r="BEX18" s="55"/>
      <c r="BEY18" s="55"/>
      <c r="BEZ18" s="55"/>
      <c r="BFA18" s="55"/>
      <c r="BFB18" s="55"/>
      <c r="BFC18" s="55"/>
      <c r="BFD18" s="55"/>
      <c r="BFE18" s="55"/>
      <c r="BFF18" s="55"/>
      <c r="BFG18" s="55"/>
      <c r="BFH18" s="55"/>
      <c r="BFI18" s="55"/>
      <c r="BFJ18" s="55"/>
      <c r="BFK18" s="55"/>
      <c r="BFL18" s="55"/>
      <c r="BFM18" s="55"/>
      <c r="BFN18" s="55"/>
      <c r="BFO18" s="55"/>
      <c r="BFP18" s="55"/>
      <c r="BFQ18" s="55"/>
      <c r="BFR18" s="55"/>
      <c r="BFS18" s="55"/>
      <c r="BFT18" s="55"/>
      <c r="BFU18" s="55"/>
      <c r="BFV18" s="55"/>
      <c r="BFW18" s="55"/>
      <c r="BFX18" s="55"/>
      <c r="BFY18" s="55"/>
      <c r="BFZ18" s="55"/>
      <c r="BGA18" s="55"/>
      <c r="BGB18" s="55"/>
      <c r="BGC18" s="55"/>
      <c r="BGD18" s="55"/>
      <c r="BGE18" s="55"/>
      <c r="BGF18" s="55"/>
      <c r="BGG18" s="55"/>
      <c r="BGH18" s="55"/>
      <c r="BGI18" s="55"/>
      <c r="BGJ18" s="55"/>
      <c r="BGK18" s="55"/>
      <c r="BGL18" s="55"/>
      <c r="BGM18" s="55"/>
      <c r="BGN18" s="55"/>
      <c r="BGO18" s="55"/>
      <c r="BGP18" s="55"/>
      <c r="BGQ18" s="55"/>
      <c r="BGR18" s="55"/>
      <c r="BGS18" s="55"/>
      <c r="BGT18" s="55"/>
      <c r="BGU18" s="55"/>
      <c r="BGV18" s="55"/>
      <c r="BGW18" s="55"/>
      <c r="BGX18" s="55"/>
      <c r="BGY18" s="55"/>
      <c r="BGZ18" s="55"/>
      <c r="BHA18" s="55"/>
      <c r="BHB18" s="55"/>
      <c r="BHC18" s="55"/>
      <c r="BHD18" s="55"/>
      <c r="BHE18" s="55"/>
      <c r="BHF18" s="55"/>
      <c r="BHG18" s="55"/>
      <c r="BHH18" s="55"/>
      <c r="BHI18" s="55"/>
      <c r="BHJ18" s="55"/>
      <c r="BHK18" s="55"/>
      <c r="BHL18" s="55"/>
      <c r="BHM18" s="55"/>
      <c r="BHN18" s="55"/>
      <c r="BHO18" s="55"/>
      <c r="BHP18" s="55"/>
      <c r="BHQ18" s="55"/>
      <c r="BHR18" s="55"/>
      <c r="BHS18" s="55"/>
      <c r="BHT18" s="55"/>
      <c r="BHU18" s="55"/>
      <c r="BHV18" s="55"/>
      <c r="BHW18" s="55"/>
      <c r="BHX18" s="55"/>
      <c r="BHY18" s="55"/>
      <c r="BHZ18" s="55"/>
      <c r="BIA18" s="55"/>
      <c r="BIB18" s="55"/>
      <c r="BIC18" s="55"/>
      <c r="BID18" s="55"/>
      <c r="BIE18" s="55"/>
      <c r="BIF18" s="55"/>
      <c r="BIG18" s="55"/>
      <c r="BIH18" s="55"/>
      <c r="BII18" s="55"/>
      <c r="BIJ18" s="55"/>
      <c r="BIK18" s="55"/>
      <c r="BIL18" s="55"/>
      <c r="BIM18" s="55"/>
      <c r="BIN18" s="55"/>
      <c r="BIO18" s="55"/>
      <c r="BIP18" s="55"/>
      <c r="BIQ18" s="55"/>
      <c r="BIR18" s="55"/>
      <c r="BIS18" s="55"/>
      <c r="BIT18" s="55"/>
      <c r="BIU18" s="55"/>
      <c r="BIV18" s="55"/>
      <c r="BIW18" s="55"/>
      <c r="BIX18" s="55"/>
      <c r="BIY18" s="55"/>
      <c r="BIZ18" s="55"/>
      <c r="BJA18" s="55"/>
      <c r="BJB18" s="55"/>
      <c r="BJC18" s="55"/>
      <c r="BJD18" s="55"/>
      <c r="BJE18" s="55"/>
      <c r="BJF18" s="55"/>
      <c r="BJG18" s="55"/>
      <c r="BJH18" s="55"/>
      <c r="BJI18" s="55"/>
      <c r="BJJ18" s="55"/>
      <c r="BJK18" s="55"/>
      <c r="BJL18" s="55"/>
      <c r="BJM18" s="55"/>
      <c r="BJN18" s="55"/>
      <c r="BJO18" s="55"/>
      <c r="BJP18" s="55"/>
      <c r="BJQ18" s="55"/>
      <c r="BJR18" s="55"/>
      <c r="BJS18" s="55"/>
      <c r="BJT18" s="55"/>
      <c r="BJU18" s="55"/>
      <c r="BJV18" s="55"/>
      <c r="BJW18" s="55"/>
      <c r="BJX18" s="55"/>
      <c r="BJY18" s="55"/>
      <c r="BJZ18" s="55"/>
      <c r="BKA18" s="55"/>
      <c r="BKB18" s="55"/>
      <c r="BKC18" s="55"/>
      <c r="BKD18" s="55"/>
      <c r="BKE18" s="55"/>
      <c r="BKF18" s="55"/>
      <c r="BKG18" s="55"/>
      <c r="BKH18" s="55"/>
      <c r="BKI18" s="55"/>
      <c r="BKJ18" s="55"/>
      <c r="BKK18" s="55"/>
      <c r="BKL18" s="55"/>
      <c r="BKM18" s="55"/>
      <c r="BKN18" s="55"/>
      <c r="BKO18" s="55"/>
      <c r="BKP18" s="55"/>
      <c r="BKQ18" s="55"/>
      <c r="BKR18" s="55"/>
      <c r="BKS18" s="55"/>
      <c r="BKT18" s="55"/>
      <c r="BKU18" s="55"/>
      <c r="BKV18" s="55"/>
      <c r="BKW18" s="55"/>
      <c r="BKX18" s="55"/>
      <c r="BKY18" s="55"/>
      <c r="BKZ18" s="55"/>
      <c r="BLA18" s="55"/>
      <c r="BLB18" s="55"/>
      <c r="BLC18" s="55"/>
      <c r="BLD18" s="55"/>
      <c r="BLE18" s="55"/>
      <c r="BLF18" s="55"/>
      <c r="BLG18" s="55"/>
      <c r="BLH18" s="55"/>
      <c r="BLI18" s="55"/>
      <c r="BLJ18" s="55"/>
      <c r="BLK18" s="55"/>
      <c r="BLL18" s="55"/>
      <c r="BLM18" s="55"/>
      <c r="BLN18" s="55"/>
      <c r="BLO18" s="55"/>
      <c r="BLP18" s="55"/>
      <c r="BLQ18" s="55"/>
      <c r="BLR18" s="55"/>
      <c r="BLS18" s="55"/>
      <c r="BLT18" s="55"/>
      <c r="BLU18" s="55"/>
      <c r="BLV18" s="55"/>
      <c r="BLW18" s="55"/>
      <c r="BLX18" s="55"/>
      <c r="BLY18" s="55"/>
      <c r="BLZ18" s="55"/>
      <c r="BMA18" s="55"/>
      <c r="BMB18" s="55"/>
      <c r="BMC18" s="55"/>
      <c r="BMD18" s="55"/>
      <c r="BME18" s="55"/>
      <c r="BMF18" s="55"/>
      <c r="BMG18" s="55"/>
      <c r="BMH18" s="55"/>
      <c r="BMI18" s="55"/>
      <c r="BMJ18" s="55"/>
      <c r="BMK18" s="55"/>
      <c r="BML18" s="55"/>
      <c r="BMM18" s="55"/>
      <c r="BMN18" s="55"/>
      <c r="BMO18" s="55"/>
      <c r="BMP18" s="55"/>
      <c r="BMQ18" s="55"/>
      <c r="BMR18" s="55"/>
      <c r="BMS18" s="55"/>
      <c r="BMT18" s="55"/>
      <c r="BMU18" s="55"/>
      <c r="BMV18" s="55"/>
      <c r="BMW18" s="55"/>
      <c r="BMX18" s="55"/>
      <c r="BMY18" s="55"/>
      <c r="BMZ18" s="55"/>
      <c r="BNA18" s="55"/>
      <c r="BNB18" s="55"/>
      <c r="BNC18" s="55"/>
      <c r="BND18" s="55"/>
      <c r="BNE18" s="55"/>
      <c r="BNF18" s="55"/>
      <c r="BNG18" s="55"/>
      <c r="BNH18" s="55"/>
      <c r="BNI18" s="55"/>
      <c r="BNJ18" s="55"/>
      <c r="BNK18" s="55"/>
      <c r="BNL18" s="55"/>
      <c r="BNM18" s="55"/>
      <c r="BNN18" s="55"/>
      <c r="BNO18" s="55"/>
      <c r="BNP18" s="55"/>
      <c r="BNQ18" s="55"/>
      <c r="BNR18" s="55"/>
      <c r="BNS18" s="55"/>
      <c r="BNT18" s="55"/>
      <c r="BNU18" s="55"/>
      <c r="BNV18" s="55"/>
      <c r="BNW18" s="55"/>
      <c r="BNX18" s="55"/>
      <c r="BNY18" s="55"/>
      <c r="BNZ18" s="55"/>
      <c r="BOA18" s="55"/>
      <c r="BOB18" s="55"/>
      <c r="BOC18" s="55"/>
      <c r="BOD18" s="55"/>
      <c r="BOE18" s="55"/>
      <c r="BOF18" s="55"/>
      <c r="BOG18" s="55"/>
      <c r="BOH18" s="55"/>
      <c r="BOI18" s="55"/>
      <c r="BOJ18" s="55"/>
      <c r="BOK18" s="55"/>
      <c r="BOL18" s="55"/>
      <c r="BOM18" s="55"/>
      <c r="BON18" s="55"/>
      <c r="BOO18" s="55"/>
      <c r="BOP18" s="55"/>
      <c r="BOQ18" s="55"/>
      <c r="BOR18" s="55"/>
      <c r="BOS18" s="55"/>
      <c r="BOT18" s="55"/>
      <c r="BOU18" s="55"/>
      <c r="BOV18" s="55"/>
      <c r="BOW18" s="55"/>
      <c r="BOX18" s="55"/>
      <c r="BOY18" s="55"/>
      <c r="BOZ18" s="55"/>
      <c r="BPA18" s="55"/>
      <c r="BPB18" s="55"/>
      <c r="BPC18" s="55"/>
      <c r="BPD18" s="55"/>
      <c r="BPE18" s="55"/>
      <c r="BPF18" s="55"/>
      <c r="BPG18" s="55"/>
      <c r="BPH18" s="55"/>
      <c r="BPI18" s="55"/>
      <c r="BPJ18" s="55"/>
      <c r="BPK18" s="55"/>
      <c r="BPL18" s="55"/>
      <c r="BPM18" s="55"/>
      <c r="BPN18" s="55"/>
      <c r="BPO18" s="55"/>
      <c r="BPP18" s="55"/>
      <c r="BPQ18" s="55"/>
      <c r="BPR18" s="55"/>
      <c r="BPS18" s="55"/>
      <c r="BPT18" s="55"/>
      <c r="BPU18" s="55"/>
      <c r="BPV18" s="55"/>
      <c r="BPW18" s="55"/>
      <c r="BPX18" s="55"/>
      <c r="BPY18" s="55"/>
      <c r="BPZ18" s="55"/>
      <c r="BQA18" s="55"/>
      <c r="BQB18" s="55"/>
      <c r="BQC18" s="55"/>
      <c r="BQD18" s="55"/>
      <c r="BQE18" s="55"/>
      <c r="BQF18" s="55"/>
      <c r="BQG18" s="55"/>
      <c r="BQH18" s="55"/>
      <c r="BQI18" s="55"/>
      <c r="BQJ18" s="55"/>
      <c r="BQK18" s="55"/>
      <c r="BQL18" s="55"/>
      <c r="BQM18" s="55"/>
      <c r="BQN18" s="55"/>
      <c r="BQO18" s="55"/>
      <c r="BQP18" s="55"/>
      <c r="BQQ18" s="55"/>
      <c r="BQR18" s="55"/>
      <c r="BQS18" s="55"/>
      <c r="BQT18" s="55"/>
      <c r="BQU18" s="55"/>
      <c r="BQV18" s="55"/>
      <c r="BQW18" s="55"/>
      <c r="BQX18" s="55"/>
      <c r="BQY18" s="55"/>
      <c r="BQZ18" s="55"/>
      <c r="BRA18" s="55"/>
      <c r="BRB18" s="55"/>
      <c r="BRC18" s="55"/>
      <c r="BRD18" s="55"/>
      <c r="BRE18" s="55"/>
      <c r="BRF18" s="55"/>
      <c r="BRG18" s="55"/>
      <c r="BRH18" s="55"/>
      <c r="BRI18" s="55"/>
      <c r="BRJ18" s="55"/>
      <c r="BRK18" s="55"/>
      <c r="BRL18" s="55"/>
      <c r="BRM18" s="55"/>
      <c r="BRN18" s="55"/>
      <c r="BRO18" s="55"/>
      <c r="BRP18" s="55"/>
      <c r="BRQ18" s="55"/>
      <c r="BRR18" s="55"/>
      <c r="BRS18" s="55"/>
      <c r="BRT18" s="55"/>
      <c r="BRU18" s="55"/>
      <c r="BRV18" s="55"/>
      <c r="BRW18" s="55"/>
      <c r="BRX18" s="55"/>
      <c r="BRY18" s="55"/>
      <c r="BRZ18" s="55"/>
      <c r="BSA18" s="55"/>
      <c r="BSB18" s="55"/>
      <c r="BSC18" s="55"/>
      <c r="BSD18" s="55"/>
    </row>
    <row r="19" spans="1:1850" ht="15" customHeight="1">
      <c r="A19" s="46" t="s">
        <v>16</v>
      </c>
      <c r="B19" s="44"/>
      <c r="C19" s="47">
        <f>D18+1</f>
        <v>41544</v>
      </c>
      <c r="D19" s="48">
        <f>C19+7</f>
        <v>41551</v>
      </c>
      <c r="E19" s="49" t="str">
        <f t="shared" si="1"/>
        <v>8 days</v>
      </c>
      <c r="F19" s="50"/>
      <c r="G19" s="51"/>
      <c r="H19" s="51"/>
      <c r="I19" s="51"/>
      <c r="J19" s="51"/>
      <c r="K19" s="51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3"/>
      <c r="AG19" s="53"/>
      <c r="AH19" s="53"/>
      <c r="AI19" s="53"/>
      <c r="AJ19" s="53"/>
      <c r="AK19" s="53"/>
      <c r="AL19" s="53"/>
      <c r="AM19" s="53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2"/>
      <c r="CM19" s="52"/>
      <c r="CN19" s="52"/>
      <c r="CO19" s="52"/>
      <c r="CP19" s="52"/>
      <c r="CQ19" s="52"/>
      <c r="CR19" s="54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55"/>
      <c r="NK19" s="55"/>
      <c r="NL19" s="55"/>
      <c r="NM19" s="55"/>
      <c r="NN19" s="55"/>
      <c r="NO19" s="55"/>
      <c r="NP19" s="55"/>
      <c r="NQ19" s="55"/>
      <c r="NR19" s="55"/>
      <c r="NS19" s="55"/>
      <c r="NT19" s="55"/>
      <c r="NU19" s="55"/>
      <c r="NV19" s="55"/>
      <c r="NW19" s="55"/>
      <c r="NX19" s="55"/>
      <c r="NY19" s="55"/>
      <c r="NZ19" s="55"/>
      <c r="OA19" s="55"/>
      <c r="OB19" s="55"/>
      <c r="OC19" s="55"/>
      <c r="OD19" s="55"/>
      <c r="OE19" s="55"/>
      <c r="OF19" s="55"/>
      <c r="OG19" s="55"/>
      <c r="OH19" s="55"/>
      <c r="OI19" s="55"/>
      <c r="OJ19" s="55"/>
      <c r="OK19" s="55"/>
      <c r="OL19" s="55"/>
      <c r="OM19" s="55"/>
      <c r="ON19" s="55"/>
      <c r="OO19" s="55"/>
      <c r="OP19" s="55"/>
      <c r="OQ19" s="55"/>
      <c r="OR19" s="55"/>
      <c r="OS19" s="55"/>
      <c r="OT19" s="55"/>
      <c r="OU19" s="55"/>
      <c r="OV19" s="55"/>
      <c r="OW19" s="55"/>
      <c r="OX19" s="55"/>
      <c r="OY19" s="55"/>
      <c r="OZ19" s="55"/>
      <c r="PA19" s="55"/>
      <c r="PB19" s="55"/>
      <c r="PC19" s="55"/>
      <c r="PD19" s="55"/>
      <c r="PE19" s="55"/>
      <c r="PF19" s="55"/>
      <c r="PG19" s="55"/>
      <c r="PH19" s="55"/>
      <c r="PI19" s="55"/>
      <c r="PJ19" s="55"/>
      <c r="PK19" s="55"/>
      <c r="PL19" s="55"/>
      <c r="PM19" s="55"/>
      <c r="PN19" s="55"/>
      <c r="PO19" s="55"/>
      <c r="PP19" s="55"/>
      <c r="PQ19" s="55"/>
      <c r="PR19" s="55"/>
      <c r="PS19" s="55"/>
      <c r="PT19" s="55"/>
      <c r="PU19" s="55"/>
      <c r="PV19" s="55"/>
      <c r="PW19" s="55"/>
      <c r="PX19" s="55"/>
      <c r="PY19" s="55"/>
      <c r="PZ19" s="55"/>
      <c r="QA19" s="55"/>
      <c r="QB19" s="55"/>
      <c r="QC19" s="55"/>
      <c r="QD19" s="55"/>
      <c r="QE19" s="55"/>
      <c r="QF19" s="55"/>
      <c r="QG19" s="55"/>
      <c r="QH19" s="55"/>
      <c r="QI19" s="55"/>
      <c r="QJ19" s="55"/>
      <c r="QK19" s="55"/>
      <c r="QL19" s="55"/>
      <c r="QM19" s="55"/>
      <c r="QN19" s="55"/>
      <c r="QO19" s="55"/>
      <c r="QP19" s="55"/>
      <c r="QQ19" s="55"/>
      <c r="QR19" s="55"/>
      <c r="QS19" s="55"/>
      <c r="QT19" s="55"/>
      <c r="QU19" s="55"/>
      <c r="QV19" s="55"/>
      <c r="QW19" s="55"/>
      <c r="QX19" s="55"/>
      <c r="QY19" s="55"/>
      <c r="QZ19" s="55"/>
      <c r="RA19" s="55"/>
      <c r="RB19" s="55"/>
      <c r="RC19" s="55"/>
      <c r="RD19" s="55"/>
      <c r="RE19" s="55"/>
      <c r="RF19" s="55"/>
      <c r="RG19" s="55"/>
      <c r="RH19" s="55"/>
      <c r="RI19" s="55"/>
      <c r="RJ19" s="55"/>
      <c r="RK19" s="55"/>
      <c r="RL19" s="55"/>
      <c r="RM19" s="55"/>
      <c r="RN19" s="55"/>
      <c r="RO19" s="55"/>
      <c r="RP19" s="55"/>
      <c r="RQ19" s="55"/>
      <c r="RR19" s="55"/>
      <c r="RS19" s="55"/>
      <c r="RT19" s="55"/>
      <c r="RU19" s="55"/>
      <c r="RV19" s="55"/>
      <c r="RW19" s="55"/>
      <c r="RX19" s="55"/>
      <c r="RY19" s="55"/>
      <c r="RZ19" s="55"/>
      <c r="SA19" s="55"/>
      <c r="SB19" s="55"/>
      <c r="SC19" s="55"/>
      <c r="SD19" s="55"/>
      <c r="SE19" s="55"/>
      <c r="SF19" s="55"/>
      <c r="SG19" s="55"/>
      <c r="SH19" s="55"/>
      <c r="SI19" s="55"/>
      <c r="SJ19" s="55"/>
      <c r="SK19" s="55"/>
      <c r="SL19" s="55"/>
      <c r="SM19" s="55"/>
      <c r="SN19" s="55"/>
      <c r="SO19" s="55"/>
      <c r="SP19" s="55"/>
      <c r="SQ19" s="55"/>
      <c r="SR19" s="55"/>
      <c r="SS19" s="55"/>
      <c r="ST19" s="55"/>
      <c r="SU19" s="55"/>
      <c r="SV19" s="55"/>
      <c r="SW19" s="55"/>
      <c r="SX19" s="55"/>
      <c r="SY19" s="55"/>
      <c r="SZ19" s="55"/>
      <c r="TA19" s="55"/>
      <c r="TB19" s="55"/>
      <c r="TC19" s="55"/>
      <c r="TD19" s="55"/>
      <c r="TE19" s="55"/>
      <c r="TF19" s="55"/>
      <c r="TG19" s="55"/>
      <c r="TH19" s="55"/>
      <c r="TI19" s="55"/>
      <c r="TJ19" s="55"/>
      <c r="TK19" s="55"/>
      <c r="TL19" s="55"/>
      <c r="TM19" s="55"/>
      <c r="TN19" s="55"/>
      <c r="TO19" s="55"/>
      <c r="TP19" s="55"/>
      <c r="TQ19" s="55"/>
      <c r="TR19" s="55"/>
      <c r="TS19" s="55"/>
      <c r="TT19" s="55"/>
      <c r="TU19" s="55"/>
      <c r="TV19" s="55"/>
      <c r="TW19" s="55"/>
      <c r="TX19" s="55"/>
      <c r="TY19" s="55"/>
      <c r="TZ19" s="55"/>
      <c r="UA19" s="55"/>
      <c r="UB19" s="55"/>
      <c r="UC19" s="55"/>
      <c r="UD19" s="55"/>
      <c r="UE19" s="55"/>
      <c r="UF19" s="55"/>
      <c r="UG19" s="55"/>
      <c r="UH19" s="55"/>
      <c r="UI19" s="55"/>
      <c r="UJ19" s="55"/>
      <c r="UK19" s="55"/>
      <c r="UL19" s="55"/>
      <c r="UM19" s="55"/>
      <c r="UN19" s="55"/>
      <c r="UO19" s="55"/>
      <c r="UP19" s="55"/>
      <c r="UQ19" s="55"/>
      <c r="UR19" s="55"/>
      <c r="US19" s="55"/>
      <c r="UT19" s="55"/>
      <c r="UU19" s="55"/>
      <c r="UV19" s="55"/>
      <c r="UW19" s="55"/>
      <c r="UX19" s="55"/>
      <c r="UY19" s="55"/>
      <c r="UZ19" s="55"/>
      <c r="VA19" s="55"/>
      <c r="VB19" s="55"/>
      <c r="VC19" s="55"/>
      <c r="VD19" s="55"/>
      <c r="VE19" s="55"/>
      <c r="VF19" s="55"/>
      <c r="VG19" s="55"/>
      <c r="VH19" s="55"/>
      <c r="VI19" s="55"/>
      <c r="VJ19" s="55"/>
      <c r="VK19" s="55"/>
      <c r="VL19" s="55"/>
      <c r="VM19" s="55"/>
      <c r="VN19" s="55"/>
      <c r="VO19" s="55"/>
      <c r="VP19" s="55"/>
      <c r="VQ19" s="55"/>
      <c r="VR19" s="55"/>
      <c r="VS19" s="55"/>
      <c r="VT19" s="55"/>
      <c r="VU19" s="55"/>
      <c r="VV19" s="55"/>
      <c r="VW19" s="55"/>
      <c r="VX19" s="55"/>
      <c r="VY19" s="55"/>
      <c r="VZ19" s="55"/>
      <c r="WA19" s="55"/>
      <c r="WB19" s="55"/>
      <c r="WC19" s="55"/>
      <c r="WD19" s="55"/>
      <c r="WE19" s="55"/>
      <c r="WF19" s="55"/>
      <c r="WG19" s="55"/>
      <c r="WH19" s="55"/>
      <c r="WI19" s="55"/>
      <c r="WJ19" s="55"/>
      <c r="WK19" s="55"/>
      <c r="WL19" s="55"/>
      <c r="WM19" s="55"/>
      <c r="WN19" s="55"/>
      <c r="WO19" s="55"/>
      <c r="WP19" s="55"/>
      <c r="WQ19" s="55"/>
      <c r="WR19" s="55"/>
      <c r="WS19" s="55"/>
      <c r="WT19" s="55"/>
      <c r="WU19" s="55"/>
      <c r="WV19" s="55"/>
      <c r="WW19" s="55"/>
      <c r="WX19" s="55"/>
      <c r="WY19" s="55"/>
      <c r="WZ19" s="55"/>
      <c r="XA19" s="55"/>
      <c r="XB19" s="55"/>
      <c r="XC19" s="55"/>
      <c r="XD19" s="55"/>
      <c r="XE19" s="55"/>
      <c r="XF19" s="55"/>
      <c r="XG19" s="55"/>
      <c r="XH19" s="55"/>
      <c r="XI19" s="55"/>
      <c r="XJ19" s="55"/>
      <c r="XK19" s="55"/>
      <c r="XL19" s="55"/>
      <c r="XM19" s="55"/>
      <c r="XN19" s="55"/>
      <c r="XO19" s="55"/>
      <c r="XP19" s="55"/>
      <c r="XQ19" s="55"/>
      <c r="XR19" s="55"/>
      <c r="XS19" s="55"/>
      <c r="XT19" s="55"/>
      <c r="XU19" s="55"/>
      <c r="XV19" s="55"/>
      <c r="XW19" s="55"/>
      <c r="XX19" s="55"/>
      <c r="XY19" s="55"/>
      <c r="XZ19" s="55"/>
      <c r="YA19" s="55"/>
      <c r="YB19" s="55"/>
      <c r="YC19" s="55"/>
      <c r="YD19" s="55"/>
      <c r="YE19" s="55"/>
      <c r="YF19" s="55"/>
      <c r="YG19" s="55"/>
      <c r="YH19" s="55"/>
      <c r="YI19" s="55"/>
      <c r="YJ19" s="55"/>
      <c r="YK19" s="55"/>
      <c r="YL19" s="55"/>
      <c r="YM19" s="55"/>
      <c r="YN19" s="55"/>
      <c r="YO19" s="55"/>
      <c r="YP19" s="55"/>
      <c r="YQ19" s="55"/>
      <c r="YR19" s="55"/>
      <c r="YS19" s="55"/>
      <c r="YT19" s="55"/>
      <c r="YU19" s="55"/>
      <c r="YV19" s="55"/>
      <c r="YW19" s="55"/>
      <c r="YX19" s="55"/>
      <c r="YY19" s="55"/>
      <c r="YZ19" s="55"/>
      <c r="ZA19" s="55"/>
      <c r="ZB19" s="55"/>
      <c r="ZC19" s="55"/>
      <c r="ZD19" s="55"/>
      <c r="ZE19" s="55"/>
      <c r="ZF19" s="55"/>
      <c r="ZG19" s="55"/>
      <c r="ZH19" s="55"/>
      <c r="ZI19" s="55"/>
      <c r="ZJ19" s="55"/>
      <c r="ZK19" s="55"/>
      <c r="ZL19" s="55"/>
      <c r="ZM19" s="55"/>
      <c r="ZN19" s="55"/>
      <c r="ZO19" s="55"/>
      <c r="ZP19" s="55"/>
      <c r="ZQ19" s="55"/>
      <c r="ZR19" s="55"/>
      <c r="ZS19" s="55"/>
      <c r="ZT19" s="55"/>
      <c r="ZU19" s="55"/>
      <c r="ZV19" s="55"/>
      <c r="ZW19" s="55"/>
      <c r="ZX19" s="55"/>
      <c r="ZY19" s="55"/>
      <c r="ZZ19" s="55"/>
      <c r="AAA19" s="55"/>
      <c r="AAB19" s="55"/>
      <c r="AAC19" s="55"/>
      <c r="AAD19" s="55"/>
      <c r="AAE19" s="55"/>
      <c r="AAF19" s="55"/>
      <c r="AAG19" s="55"/>
      <c r="AAH19" s="55"/>
      <c r="AAI19" s="55"/>
      <c r="AAJ19" s="55"/>
      <c r="AAK19" s="55"/>
      <c r="AAL19" s="55"/>
      <c r="AAM19" s="55"/>
      <c r="AAN19" s="55"/>
      <c r="AAO19" s="55"/>
      <c r="AAP19" s="55"/>
      <c r="AAQ19" s="55"/>
      <c r="AAR19" s="55"/>
      <c r="AAS19" s="55"/>
      <c r="AAT19" s="55"/>
      <c r="AAU19" s="55"/>
      <c r="AAV19" s="55"/>
      <c r="AAW19" s="55"/>
      <c r="AAX19" s="55"/>
      <c r="AAY19" s="55"/>
      <c r="AAZ19" s="55"/>
      <c r="ABA19" s="55"/>
      <c r="ABB19" s="55"/>
      <c r="ABC19" s="55"/>
      <c r="ABD19" s="55"/>
      <c r="ABE19" s="55"/>
      <c r="ABF19" s="55"/>
      <c r="ABG19" s="55"/>
      <c r="ABH19" s="55"/>
      <c r="ABI19" s="55"/>
      <c r="ABJ19" s="55"/>
      <c r="ABK19" s="55"/>
      <c r="ABL19" s="55"/>
      <c r="ABM19" s="55"/>
      <c r="ABN19" s="55"/>
      <c r="ABO19" s="55"/>
      <c r="ABP19" s="55"/>
      <c r="ABQ19" s="55"/>
      <c r="ABR19" s="55"/>
      <c r="ABS19" s="55"/>
      <c r="ABT19" s="55"/>
      <c r="ABU19" s="55"/>
      <c r="ABV19" s="55"/>
      <c r="ABW19" s="55"/>
      <c r="ABX19" s="55"/>
      <c r="ABY19" s="55"/>
      <c r="ABZ19" s="55"/>
      <c r="ACA19" s="55"/>
      <c r="ACB19" s="55"/>
      <c r="ACC19" s="55"/>
      <c r="ACD19" s="55"/>
      <c r="ACE19" s="55"/>
      <c r="ACF19" s="55"/>
      <c r="ACG19" s="55"/>
      <c r="ACH19" s="55"/>
      <c r="ACI19" s="55"/>
      <c r="ACJ19" s="55"/>
      <c r="ACK19" s="55"/>
      <c r="ACL19" s="55"/>
      <c r="ACM19" s="55"/>
      <c r="ACN19" s="55"/>
      <c r="ACO19" s="55"/>
      <c r="ACP19" s="55"/>
      <c r="ACQ19" s="55"/>
      <c r="ACR19" s="55"/>
      <c r="ACS19" s="55"/>
      <c r="ACT19" s="55"/>
      <c r="ACU19" s="55"/>
      <c r="ACV19" s="55"/>
      <c r="ACW19" s="55"/>
      <c r="ACX19" s="55"/>
      <c r="ACY19" s="55"/>
      <c r="ACZ19" s="55"/>
      <c r="ADA19" s="55"/>
      <c r="ADB19" s="55"/>
      <c r="ADC19" s="55"/>
      <c r="ADD19" s="55"/>
      <c r="ADE19" s="55"/>
      <c r="ADF19" s="55"/>
      <c r="ADG19" s="55"/>
      <c r="ADH19" s="55"/>
      <c r="ADI19" s="55"/>
      <c r="ADJ19" s="55"/>
      <c r="ADK19" s="55"/>
      <c r="ADL19" s="55"/>
      <c r="ADM19" s="55"/>
      <c r="ADN19" s="55"/>
      <c r="ADO19" s="55"/>
      <c r="ADP19" s="55"/>
      <c r="ADQ19" s="55"/>
      <c r="ADR19" s="55"/>
      <c r="ADS19" s="55"/>
      <c r="ADT19" s="55"/>
      <c r="ADU19" s="55"/>
      <c r="ADV19" s="55"/>
      <c r="ADW19" s="55"/>
      <c r="ADX19" s="55"/>
      <c r="ADY19" s="55"/>
      <c r="ADZ19" s="55"/>
      <c r="AEA19" s="55"/>
      <c r="AEB19" s="55"/>
      <c r="AEC19" s="55"/>
      <c r="AED19" s="55"/>
      <c r="AEE19" s="55"/>
      <c r="AEF19" s="55"/>
      <c r="AEG19" s="55"/>
      <c r="AEH19" s="55"/>
      <c r="AEI19" s="55"/>
      <c r="AEJ19" s="55"/>
      <c r="AEK19" s="55"/>
      <c r="AEL19" s="55"/>
      <c r="AEM19" s="55"/>
      <c r="AEN19" s="55"/>
      <c r="AEO19" s="55"/>
      <c r="AEP19" s="55"/>
      <c r="AEQ19" s="55"/>
      <c r="AER19" s="55"/>
      <c r="AES19" s="55"/>
      <c r="AET19" s="55"/>
      <c r="AEU19" s="55"/>
      <c r="AEV19" s="55"/>
      <c r="AEW19" s="55"/>
      <c r="AEX19" s="55"/>
      <c r="AEY19" s="55"/>
      <c r="AEZ19" s="55"/>
      <c r="AFA19" s="55"/>
      <c r="AFB19" s="55"/>
      <c r="AFC19" s="55"/>
      <c r="AFD19" s="55"/>
      <c r="AFE19" s="55"/>
      <c r="AFF19" s="55"/>
      <c r="AFG19" s="55"/>
      <c r="AFH19" s="55"/>
      <c r="AFI19" s="55"/>
      <c r="AFJ19" s="55"/>
      <c r="AFK19" s="55"/>
      <c r="AFL19" s="55"/>
      <c r="AFM19" s="55"/>
      <c r="AFN19" s="55"/>
      <c r="AFO19" s="55"/>
      <c r="AFP19" s="55"/>
      <c r="AFQ19" s="55"/>
      <c r="AFR19" s="55"/>
      <c r="AFS19" s="55"/>
      <c r="AFT19" s="55"/>
      <c r="AFU19" s="55"/>
      <c r="AFV19" s="55"/>
      <c r="AFW19" s="55"/>
      <c r="AFX19" s="55"/>
      <c r="AFY19" s="55"/>
      <c r="AFZ19" s="55"/>
      <c r="AGA19" s="55"/>
      <c r="AGB19" s="55"/>
      <c r="AGC19" s="55"/>
      <c r="AGD19" s="55"/>
      <c r="AGE19" s="55"/>
      <c r="AGF19" s="55"/>
      <c r="AGG19" s="55"/>
      <c r="AGH19" s="55"/>
      <c r="AGI19" s="55"/>
      <c r="AGJ19" s="55"/>
      <c r="AGK19" s="55"/>
      <c r="AGL19" s="55"/>
      <c r="AGM19" s="55"/>
      <c r="AGN19" s="55"/>
      <c r="AGO19" s="55"/>
      <c r="AGP19" s="55"/>
      <c r="AGQ19" s="55"/>
      <c r="AGR19" s="55"/>
      <c r="AGS19" s="55"/>
      <c r="AGT19" s="55"/>
      <c r="AGU19" s="55"/>
      <c r="AGV19" s="55"/>
      <c r="AGW19" s="55"/>
      <c r="AGX19" s="55"/>
      <c r="AGY19" s="55"/>
      <c r="AGZ19" s="55"/>
      <c r="AHA19" s="55"/>
      <c r="AHB19" s="55"/>
      <c r="AHC19" s="55"/>
      <c r="AHD19" s="55"/>
      <c r="AHE19" s="55"/>
      <c r="AHF19" s="55"/>
      <c r="AHG19" s="55"/>
      <c r="AHH19" s="55"/>
      <c r="AHI19" s="55"/>
      <c r="AHJ19" s="55"/>
      <c r="AHK19" s="55"/>
      <c r="AHL19" s="55"/>
      <c r="AHM19" s="55"/>
      <c r="AHN19" s="55"/>
      <c r="AHO19" s="55"/>
      <c r="AHP19" s="55"/>
      <c r="AHQ19" s="55"/>
      <c r="AHR19" s="55"/>
      <c r="AHS19" s="55"/>
      <c r="AHT19" s="55"/>
      <c r="AHU19" s="55"/>
      <c r="AHV19" s="55"/>
      <c r="AHW19" s="55"/>
      <c r="AHX19" s="55"/>
      <c r="AHY19" s="55"/>
      <c r="AHZ19" s="55"/>
      <c r="AIA19" s="55"/>
      <c r="AIB19" s="55"/>
      <c r="AIC19" s="55"/>
      <c r="AID19" s="55"/>
      <c r="AIE19" s="55"/>
      <c r="AIF19" s="55"/>
      <c r="AIG19" s="55"/>
      <c r="AIH19" s="55"/>
      <c r="AII19" s="55"/>
      <c r="AIJ19" s="55"/>
      <c r="AIK19" s="55"/>
      <c r="AIL19" s="55"/>
      <c r="AIM19" s="55"/>
      <c r="AIN19" s="55"/>
      <c r="AIO19" s="55"/>
      <c r="AIP19" s="55"/>
      <c r="AIQ19" s="55"/>
      <c r="AIR19" s="55"/>
      <c r="AIS19" s="55"/>
      <c r="AIT19" s="55"/>
      <c r="AIU19" s="55"/>
      <c r="AIV19" s="55"/>
      <c r="AIW19" s="55"/>
      <c r="AIX19" s="55"/>
      <c r="AIY19" s="55"/>
      <c r="AIZ19" s="55"/>
      <c r="AJA19" s="55"/>
      <c r="AJB19" s="55"/>
      <c r="AJC19" s="55"/>
      <c r="AJD19" s="55"/>
      <c r="AJE19" s="55"/>
      <c r="AJF19" s="55"/>
      <c r="AJG19" s="55"/>
      <c r="AJH19" s="55"/>
      <c r="AJI19" s="55"/>
      <c r="AJJ19" s="55"/>
      <c r="AJK19" s="55"/>
      <c r="AJL19" s="55"/>
      <c r="AJM19" s="55"/>
      <c r="AJN19" s="55"/>
      <c r="AJO19" s="55"/>
      <c r="AJP19" s="55"/>
      <c r="AJQ19" s="55"/>
      <c r="AJR19" s="55"/>
      <c r="AJS19" s="55"/>
      <c r="AJT19" s="55"/>
      <c r="AJU19" s="55"/>
      <c r="AJV19" s="55"/>
      <c r="AJW19" s="55"/>
      <c r="AJX19" s="55"/>
      <c r="AJY19" s="55"/>
      <c r="AJZ19" s="55"/>
      <c r="AKA19" s="55"/>
      <c r="AKB19" s="55"/>
      <c r="AKC19" s="55"/>
      <c r="AKD19" s="55"/>
      <c r="AKE19" s="55"/>
      <c r="AKF19" s="55"/>
      <c r="AKG19" s="55"/>
      <c r="AKH19" s="55"/>
      <c r="AKI19" s="55"/>
      <c r="AKJ19" s="55"/>
      <c r="AKK19" s="55"/>
      <c r="AKL19" s="55"/>
      <c r="AKM19" s="55"/>
      <c r="AKN19" s="55"/>
      <c r="AKO19" s="55"/>
      <c r="AKP19" s="55"/>
      <c r="AKQ19" s="55"/>
      <c r="AKR19" s="55"/>
      <c r="AKS19" s="55"/>
      <c r="AKT19" s="55"/>
      <c r="AKU19" s="55"/>
      <c r="AKV19" s="55"/>
      <c r="AKW19" s="55"/>
      <c r="AKX19" s="55"/>
      <c r="AKY19" s="55"/>
      <c r="AKZ19" s="55"/>
      <c r="ALA19" s="55"/>
      <c r="ALB19" s="55"/>
      <c r="ALC19" s="55"/>
      <c r="ALD19" s="55"/>
      <c r="ALE19" s="55"/>
      <c r="ALF19" s="55"/>
      <c r="ALG19" s="55"/>
      <c r="ALH19" s="55"/>
      <c r="ALI19" s="55"/>
      <c r="ALJ19" s="55"/>
      <c r="ALK19" s="55"/>
      <c r="ALL19" s="55"/>
      <c r="ALM19" s="55"/>
      <c r="ALN19" s="55"/>
      <c r="ALO19" s="55"/>
      <c r="ALP19" s="55"/>
      <c r="ALQ19" s="55"/>
      <c r="ALR19" s="55"/>
      <c r="ALS19" s="55"/>
      <c r="ALT19" s="55"/>
      <c r="ALU19" s="55"/>
      <c r="ALV19" s="55"/>
      <c r="ALW19" s="55"/>
      <c r="ALX19" s="55"/>
      <c r="ALY19" s="55"/>
      <c r="ALZ19" s="55"/>
      <c r="AMA19" s="55"/>
      <c r="AMB19" s="55"/>
      <c r="AMC19" s="55"/>
      <c r="AMD19" s="55"/>
      <c r="AME19" s="55"/>
      <c r="AMF19" s="55"/>
      <c r="AMG19" s="55"/>
      <c r="AMH19" s="55"/>
      <c r="AMI19" s="55"/>
      <c r="AMJ19" s="55"/>
      <c r="AMK19" s="55"/>
      <c r="AML19" s="55"/>
      <c r="AMM19" s="55"/>
      <c r="AMN19" s="55"/>
      <c r="AMO19" s="55"/>
      <c r="AMP19" s="55"/>
      <c r="AMQ19" s="55"/>
      <c r="AMR19" s="55"/>
      <c r="AMS19" s="55"/>
      <c r="AMT19" s="55"/>
      <c r="AMU19" s="55"/>
      <c r="AMV19" s="55"/>
      <c r="AMW19" s="55"/>
      <c r="AMX19" s="55"/>
      <c r="AMY19" s="55"/>
      <c r="AMZ19" s="55"/>
      <c r="ANA19" s="55"/>
      <c r="ANB19" s="55"/>
      <c r="ANC19" s="55"/>
      <c r="AND19" s="55"/>
      <c r="ANE19" s="55"/>
      <c r="ANF19" s="55"/>
      <c r="ANG19" s="55"/>
      <c r="ANH19" s="55"/>
      <c r="ANI19" s="55"/>
      <c r="ANJ19" s="55"/>
      <c r="ANK19" s="55"/>
      <c r="ANL19" s="55"/>
      <c r="ANM19" s="55"/>
      <c r="ANN19" s="55"/>
      <c r="ANO19" s="55"/>
      <c r="ANP19" s="55"/>
      <c r="ANQ19" s="55"/>
      <c r="ANR19" s="55"/>
      <c r="ANS19" s="55"/>
      <c r="ANT19" s="55"/>
      <c r="ANU19" s="55"/>
      <c r="ANV19" s="55"/>
      <c r="ANW19" s="55"/>
      <c r="ANX19" s="55"/>
      <c r="ANY19" s="55"/>
      <c r="ANZ19" s="55"/>
      <c r="AOA19" s="55"/>
      <c r="AOB19" s="55"/>
      <c r="AOC19" s="55"/>
      <c r="AOD19" s="55"/>
      <c r="AOE19" s="55"/>
      <c r="AOF19" s="55"/>
      <c r="AOG19" s="55"/>
      <c r="AOH19" s="55"/>
      <c r="AOI19" s="55"/>
      <c r="AOJ19" s="55"/>
      <c r="AOK19" s="55"/>
      <c r="AOL19" s="55"/>
      <c r="AOM19" s="55"/>
      <c r="AON19" s="55"/>
      <c r="AOO19" s="55"/>
      <c r="AOP19" s="55"/>
      <c r="AOQ19" s="55"/>
      <c r="AOR19" s="55"/>
      <c r="AOS19" s="55"/>
      <c r="AOT19" s="55"/>
      <c r="AOU19" s="55"/>
      <c r="AOV19" s="55"/>
      <c r="AOW19" s="55"/>
      <c r="AOX19" s="55"/>
      <c r="AOY19" s="55"/>
      <c r="AOZ19" s="55"/>
      <c r="APA19" s="55"/>
      <c r="APB19" s="55"/>
      <c r="APC19" s="55"/>
      <c r="APD19" s="55"/>
      <c r="APE19" s="55"/>
      <c r="APF19" s="55"/>
      <c r="APG19" s="55"/>
      <c r="APH19" s="55"/>
      <c r="API19" s="55"/>
      <c r="APJ19" s="55"/>
      <c r="APK19" s="55"/>
      <c r="APL19" s="55"/>
      <c r="APM19" s="55"/>
      <c r="APN19" s="55"/>
      <c r="APO19" s="55"/>
      <c r="APP19" s="55"/>
      <c r="APQ19" s="55"/>
      <c r="APR19" s="55"/>
      <c r="APS19" s="55"/>
      <c r="APT19" s="55"/>
      <c r="APU19" s="55"/>
      <c r="APV19" s="55"/>
      <c r="APW19" s="55"/>
      <c r="APX19" s="55"/>
      <c r="APY19" s="55"/>
      <c r="APZ19" s="55"/>
      <c r="AQA19" s="55"/>
      <c r="AQB19" s="55"/>
      <c r="AQC19" s="55"/>
      <c r="AQD19" s="55"/>
      <c r="AQE19" s="55"/>
      <c r="AQF19" s="55"/>
      <c r="AQG19" s="55"/>
      <c r="AQH19" s="55"/>
      <c r="AQI19" s="55"/>
      <c r="AQJ19" s="55"/>
      <c r="AQK19" s="55"/>
      <c r="AQL19" s="55"/>
      <c r="AQM19" s="55"/>
      <c r="AQN19" s="55"/>
      <c r="AQO19" s="55"/>
      <c r="AQP19" s="55"/>
      <c r="AQQ19" s="55"/>
      <c r="AQR19" s="55"/>
      <c r="AQS19" s="55"/>
      <c r="AQT19" s="55"/>
      <c r="AQU19" s="55"/>
      <c r="AQV19" s="55"/>
      <c r="AQW19" s="55"/>
      <c r="AQX19" s="55"/>
      <c r="AQY19" s="55"/>
      <c r="AQZ19" s="55"/>
      <c r="ARA19" s="55"/>
      <c r="ARB19" s="55"/>
      <c r="ARC19" s="55"/>
      <c r="ARD19" s="55"/>
      <c r="ARE19" s="55"/>
      <c r="ARF19" s="55"/>
      <c r="ARG19" s="55"/>
      <c r="ARH19" s="55"/>
      <c r="ARI19" s="55"/>
      <c r="ARJ19" s="55"/>
      <c r="ARK19" s="55"/>
      <c r="ARL19" s="55"/>
      <c r="ARM19" s="55"/>
      <c r="ARN19" s="55"/>
      <c r="ARO19" s="55"/>
      <c r="ARP19" s="55"/>
      <c r="ARQ19" s="55"/>
      <c r="ARR19" s="55"/>
      <c r="ARS19" s="55"/>
      <c r="ART19" s="55"/>
      <c r="ARU19" s="55"/>
      <c r="ARV19" s="55"/>
      <c r="ARW19" s="55"/>
      <c r="ARX19" s="55"/>
      <c r="ARY19" s="55"/>
      <c r="ARZ19" s="55"/>
      <c r="ASA19" s="55"/>
      <c r="ASB19" s="55"/>
      <c r="ASC19" s="55"/>
      <c r="ASD19" s="55"/>
      <c r="ASE19" s="55"/>
      <c r="ASF19" s="55"/>
      <c r="ASG19" s="55"/>
      <c r="ASH19" s="55"/>
      <c r="ASI19" s="55"/>
      <c r="ASJ19" s="55"/>
      <c r="ASK19" s="55"/>
      <c r="ASL19" s="55"/>
      <c r="ASM19" s="55"/>
      <c r="ASN19" s="55"/>
      <c r="ASO19" s="55"/>
      <c r="ASP19" s="55"/>
      <c r="ASQ19" s="55"/>
      <c r="ASR19" s="55"/>
      <c r="ASS19" s="55"/>
      <c r="AST19" s="55"/>
      <c r="ASU19" s="55"/>
      <c r="ASV19" s="55"/>
      <c r="ASW19" s="55"/>
      <c r="ASX19" s="55"/>
      <c r="ASY19" s="55"/>
      <c r="ASZ19" s="55"/>
      <c r="ATA19" s="55"/>
      <c r="ATB19" s="55"/>
      <c r="ATC19" s="55"/>
      <c r="ATD19" s="55"/>
      <c r="ATE19" s="55"/>
      <c r="ATF19" s="55"/>
      <c r="ATG19" s="55"/>
      <c r="ATH19" s="55"/>
      <c r="ATI19" s="55"/>
      <c r="ATJ19" s="55"/>
      <c r="ATK19" s="55"/>
      <c r="ATL19" s="55"/>
      <c r="ATM19" s="55"/>
      <c r="ATN19" s="55"/>
      <c r="ATO19" s="55"/>
      <c r="ATP19" s="55"/>
      <c r="ATQ19" s="55"/>
      <c r="ATR19" s="55"/>
      <c r="ATS19" s="55"/>
      <c r="ATT19" s="55"/>
      <c r="ATU19" s="55"/>
      <c r="ATV19" s="55"/>
      <c r="ATW19" s="55"/>
      <c r="ATX19" s="55"/>
      <c r="ATY19" s="55"/>
      <c r="ATZ19" s="55"/>
      <c r="AUA19" s="55"/>
      <c r="AUB19" s="55"/>
      <c r="AUC19" s="55"/>
      <c r="AUD19" s="55"/>
      <c r="AUE19" s="55"/>
      <c r="AUF19" s="55"/>
      <c r="AUG19" s="55"/>
      <c r="AUH19" s="55"/>
      <c r="AUI19" s="55"/>
      <c r="AUJ19" s="55"/>
      <c r="AUK19" s="55"/>
      <c r="AUL19" s="55"/>
      <c r="AUM19" s="55"/>
      <c r="AUN19" s="55"/>
      <c r="AUO19" s="55"/>
      <c r="AUP19" s="55"/>
      <c r="AUQ19" s="55"/>
      <c r="AUR19" s="55"/>
      <c r="AUS19" s="55"/>
      <c r="AUT19" s="55"/>
      <c r="AUU19" s="55"/>
      <c r="AUV19" s="55"/>
      <c r="AUW19" s="55"/>
      <c r="AUX19" s="55"/>
      <c r="AUY19" s="55"/>
      <c r="AUZ19" s="55"/>
      <c r="AVA19" s="55"/>
      <c r="AVB19" s="55"/>
      <c r="AVC19" s="55"/>
      <c r="AVD19" s="55"/>
      <c r="AVE19" s="55"/>
      <c r="AVF19" s="55"/>
      <c r="AVG19" s="55"/>
      <c r="AVH19" s="55"/>
      <c r="AVI19" s="55"/>
      <c r="AVJ19" s="55"/>
      <c r="AVK19" s="55"/>
      <c r="AVL19" s="55"/>
      <c r="AVM19" s="55"/>
      <c r="AVN19" s="55"/>
      <c r="AVO19" s="55"/>
      <c r="AVP19" s="55"/>
      <c r="AVQ19" s="55"/>
      <c r="AVR19" s="55"/>
      <c r="AVS19" s="55"/>
      <c r="AVT19" s="55"/>
      <c r="AVU19" s="55"/>
      <c r="AVV19" s="55"/>
      <c r="AVW19" s="55"/>
      <c r="AVX19" s="55"/>
      <c r="AVY19" s="55"/>
      <c r="AVZ19" s="55"/>
      <c r="AWA19" s="55"/>
      <c r="AWB19" s="55"/>
      <c r="AWC19" s="55"/>
      <c r="AWD19" s="55"/>
      <c r="AWE19" s="55"/>
      <c r="AWF19" s="55"/>
      <c r="AWG19" s="55"/>
      <c r="AWH19" s="55"/>
      <c r="AWI19" s="55"/>
      <c r="AWJ19" s="55"/>
      <c r="AWK19" s="55"/>
      <c r="AWL19" s="55"/>
      <c r="AWM19" s="55"/>
      <c r="AWN19" s="55"/>
      <c r="AWO19" s="55"/>
      <c r="AWP19" s="55"/>
      <c r="AWQ19" s="55"/>
      <c r="AWR19" s="55"/>
      <c r="AWS19" s="55"/>
      <c r="AWT19" s="55"/>
      <c r="AWU19" s="55"/>
      <c r="AWV19" s="55"/>
      <c r="AWW19" s="55"/>
      <c r="AWX19" s="55"/>
      <c r="AWY19" s="55"/>
      <c r="AWZ19" s="55"/>
      <c r="AXA19" s="55"/>
      <c r="AXB19" s="55"/>
      <c r="AXC19" s="55"/>
      <c r="AXD19" s="55"/>
      <c r="AXE19" s="55"/>
      <c r="AXF19" s="55"/>
      <c r="AXG19" s="55"/>
      <c r="AXH19" s="55"/>
      <c r="AXI19" s="55"/>
      <c r="AXJ19" s="55"/>
      <c r="AXK19" s="55"/>
      <c r="AXL19" s="55"/>
      <c r="AXM19" s="55"/>
      <c r="AXN19" s="55"/>
      <c r="AXO19" s="55"/>
      <c r="AXP19" s="55"/>
      <c r="AXQ19" s="55"/>
      <c r="AXR19" s="55"/>
      <c r="AXS19" s="55"/>
      <c r="AXT19" s="55"/>
      <c r="AXU19" s="55"/>
      <c r="AXV19" s="55"/>
      <c r="AXW19" s="55"/>
      <c r="AXX19" s="55"/>
      <c r="AXY19" s="55"/>
      <c r="AXZ19" s="55"/>
      <c r="AYA19" s="55"/>
      <c r="AYB19" s="55"/>
      <c r="AYC19" s="55"/>
      <c r="AYD19" s="55"/>
      <c r="AYE19" s="55"/>
      <c r="AYF19" s="55"/>
      <c r="AYG19" s="55"/>
      <c r="AYH19" s="55"/>
      <c r="AYI19" s="55"/>
      <c r="AYJ19" s="55"/>
      <c r="AYK19" s="55"/>
      <c r="AYL19" s="55"/>
      <c r="AYM19" s="55"/>
      <c r="AYN19" s="55"/>
      <c r="AYO19" s="55"/>
      <c r="AYP19" s="55"/>
      <c r="AYQ19" s="55"/>
      <c r="AYR19" s="55"/>
      <c r="AYS19" s="55"/>
      <c r="AYT19" s="55"/>
      <c r="AYU19" s="55"/>
      <c r="AYV19" s="55"/>
      <c r="AYW19" s="55"/>
      <c r="AYX19" s="55"/>
      <c r="AYY19" s="55"/>
      <c r="AYZ19" s="55"/>
      <c r="AZA19" s="55"/>
      <c r="AZB19" s="55"/>
      <c r="AZC19" s="55"/>
      <c r="AZD19" s="55"/>
      <c r="AZE19" s="55"/>
      <c r="AZF19" s="55"/>
      <c r="AZG19" s="55"/>
      <c r="AZH19" s="55"/>
      <c r="AZI19" s="55"/>
      <c r="AZJ19" s="55"/>
      <c r="AZK19" s="55"/>
      <c r="AZL19" s="55"/>
      <c r="AZM19" s="55"/>
      <c r="AZN19" s="55"/>
      <c r="AZO19" s="55"/>
      <c r="AZP19" s="55"/>
      <c r="AZQ19" s="55"/>
      <c r="AZR19" s="55"/>
      <c r="AZS19" s="55"/>
      <c r="AZT19" s="55"/>
      <c r="AZU19" s="55"/>
      <c r="AZV19" s="55"/>
      <c r="AZW19" s="55"/>
      <c r="AZX19" s="55"/>
      <c r="AZY19" s="55"/>
      <c r="AZZ19" s="55"/>
      <c r="BAA19" s="55"/>
      <c r="BAB19" s="55"/>
      <c r="BAC19" s="55"/>
      <c r="BAD19" s="55"/>
      <c r="BAE19" s="55"/>
      <c r="BAF19" s="55"/>
      <c r="BAG19" s="55"/>
      <c r="BAH19" s="55"/>
      <c r="BAI19" s="55"/>
      <c r="BAJ19" s="55"/>
      <c r="BAK19" s="55"/>
      <c r="BAL19" s="55"/>
      <c r="BAM19" s="55"/>
      <c r="BAN19" s="55"/>
      <c r="BAO19" s="55"/>
      <c r="BAP19" s="55"/>
      <c r="BAQ19" s="55"/>
      <c r="BAR19" s="55"/>
      <c r="BAS19" s="55"/>
      <c r="BAT19" s="55"/>
      <c r="BAU19" s="55"/>
      <c r="BAV19" s="55"/>
      <c r="BAW19" s="55"/>
      <c r="BAX19" s="55"/>
      <c r="BAY19" s="55"/>
      <c r="BAZ19" s="55"/>
      <c r="BBA19" s="55"/>
      <c r="BBB19" s="55"/>
      <c r="BBC19" s="55"/>
      <c r="BBD19" s="55"/>
      <c r="BBE19" s="55"/>
      <c r="BBF19" s="55"/>
      <c r="BBG19" s="55"/>
      <c r="BBH19" s="55"/>
      <c r="BBI19" s="55"/>
      <c r="BBJ19" s="55"/>
      <c r="BBK19" s="55"/>
      <c r="BBL19" s="55"/>
      <c r="BBM19" s="55"/>
      <c r="BBN19" s="55"/>
      <c r="BBO19" s="55"/>
      <c r="BBP19" s="55"/>
      <c r="BBQ19" s="55"/>
      <c r="BBR19" s="55"/>
      <c r="BBS19" s="55"/>
      <c r="BBT19" s="55"/>
      <c r="BBU19" s="55"/>
      <c r="BBV19" s="55"/>
      <c r="BBW19" s="55"/>
      <c r="BBX19" s="55"/>
      <c r="BBY19" s="55"/>
      <c r="BBZ19" s="55"/>
      <c r="BCA19" s="55"/>
      <c r="BCB19" s="55"/>
      <c r="BCC19" s="55"/>
      <c r="BCD19" s="55"/>
      <c r="BCE19" s="55"/>
      <c r="BCF19" s="55"/>
      <c r="BCG19" s="55"/>
      <c r="BCH19" s="55"/>
      <c r="BCI19" s="55"/>
      <c r="BCJ19" s="55"/>
      <c r="BCK19" s="55"/>
      <c r="BCL19" s="55"/>
      <c r="BCM19" s="55"/>
      <c r="BCN19" s="55"/>
      <c r="BCO19" s="55"/>
      <c r="BCP19" s="55"/>
      <c r="BCQ19" s="55"/>
      <c r="BCR19" s="55"/>
      <c r="BCS19" s="55"/>
      <c r="BCT19" s="55"/>
      <c r="BCU19" s="55"/>
      <c r="BCV19" s="55"/>
      <c r="BCW19" s="55"/>
      <c r="BCX19" s="55"/>
      <c r="BCY19" s="55"/>
      <c r="BCZ19" s="55"/>
      <c r="BDA19" s="55"/>
      <c r="BDB19" s="55"/>
      <c r="BDC19" s="55"/>
      <c r="BDD19" s="55"/>
      <c r="BDE19" s="55"/>
      <c r="BDF19" s="55"/>
      <c r="BDG19" s="55"/>
      <c r="BDH19" s="55"/>
      <c r="BDI19" s="55"/>
      <c r="BDJ19" s="55"/>
      <c r="BDK19" s="55"/>
      <c r="BDL19" s="55"/>
      <c r="BDM19" s="55"/>
      <c r="BDN19" s="55"/>
      <c r="BDO19" s="55"/>
      <c r="BDP19" s="55"/>
      <c r="BDQ19" s="55"/>
      <c r="BDR19" s="55"/>
      <c r="BDS19" s="55"/>
      <c r="BDT19" s="55"/>
      <c r="BDU19" s="55"/>
      <c r="BDV19" s="55"/>
      <c r="BDW19" s="55"/>
      <c r="BDX19" s="55"/>
      <c r="BDY19" s="55"/>
      <c r="BDZ19" s="55"/>
      <c r="BEA19" s="55"/>
      <c r="BEB19" s="55"/>
      <c r="BEC19" s="55"/>
      <c r="BED19" s="55"/>
      <c r="BEE19" s="55"/>
      <c r="BEF19" s="55"/>
      <c r="BEG19" s="55"/>
      <c r="BEH19" s="55"/>
      <c r="BEI19" s="55"/>
      <c r="BEJ19" s="55"/>
      <c r="BEK19" s="55"/>
      <c r="BEL19" s="55"/>
      <c r="BEM19" s="55"/>
      <c r="BEN19" s="55"/>
      <c r="BEO19" s="55"/>
      <c r="BEP19" s="55"/>
      <c r="BEQ19" s="55"/>
      <c r="BER19" s="55"/>
      <c r="BES19" s="55"/>
      <c r="BET19" s="55"/>
      <c r="BEU19" s="55"/>
      <c r="BEV19" s="55"/>
      <c r="BEW19" s="55"/>
      <c r="BEX19" s="55"/>
      <c r="BEY19" s="55"/>
      <c r="BEZ19" s="55"/>
      <c r="BFA19" s="55"/>
      <c r="BFB19" s="55"/>
      <c r="BFC19" s="55"/>
      <c r="BFD19" s="55"/>
      <c r="BFE19" s="55"/>
      <c r="BFF19" s="55"/>
      <c r="BFG19" s="55"/>
      <c r="BFH19" s="55"/>
      <c r="BFI19" s="55"/>
      <c r="BFJ19" s="55"/>
      <c r="BFK19" s="55"/>
      <c r="BFL19" s="55"/>
      <c r="BFM19" s="55"/>
      <c r="BFN19" s="55"/>
      <c r="BFO19" s="55"/>
      <c r="BFP19" s="55"/>
      <c r="BFQ19" s="55"/>
      <c r="BFR19" s="55"/>
      <c r="BFS19" s="55"/>
      <c r="BFT19" s="55"/>
      <c r="BFU19" s="55"/>
      <c r="BFV19" s="55"/>
      <c r="BFW19" s="55"/>
      <c r="BFX19" s="55"/>
      <c r="BFY19" s="55"/>
      <c r="BFZ19" s="55"/>
      <c r="BGA19" s="55"/>
      <c r="BGB19" s="55"/>
      <c r="BGC19" s="55"/>
      <c r="BGD19" s="55"/>
      <c r="BGE19" s="55"/>
      <c r="BGF19" s="55"/>
      <c r="BGG19" s="55"/>
      <c r="BGH19" s="55"/>
      <c r="BGI19" s="55"/>
      <c r="BGJ19" s="55"/>
      <c r="BGK19" s="55"/>
      <c r="BGL19" s="55"/>
      <c r="BGM19" s="55"/>
      <c r="BGN19" s="55"/>
      <c r="BGO19" s="55"/>
      <c r="BGP19" s="55"/>
      <c r="BGQ19" s="55"/>
      <c r="BGR19" s="55"/>
      <c r="BGS19" s="55"/>
      <c r="BGT19" s="55"/>
      <c r="BGU19" s="55"/>
      <c r="BGV19" s="55"/>
      <c r="BGW19" s="55"/>
      <c r="BGX19" s="55"/>
      <c r="BGY19" s="55"/>
      <c r="BGZ19" s="55"/>
      <c r="BHA19" s="55"/>
      <c r="BHB19" s="55"/>
      <c r="BHC19" s="55"/>
      <c r="BHD19" s="55"/>
      <c r="BHE19" s="55"/>
      <c r="BHF19" s="55"/>
      <c r="BHG19" s="55"/>
      <c r="BHH19" s="55"/>
      <c r="BHI19" s="55"/>
      <c r="BHJ19" s="55"/>
      <c r="BHK19" s="55"/>
      <c r="BHL19" s="55"/>
      <c r="BHM19" s="55"/>
      <c r="BHN19" s="55"/>
      <c r="BHO19" s="55"/>
      <c r="BHP19" s="55"/>
      <c r="BHQ19" s="55"/>
      <c r="BHR19" s="55"/>
      <c r="BHS19" s="55"/>
      <c r="BHT19" s="55"/>
      <c r="BHU19" s="55"/>
      <c r="BHV19" s="55"/>
      <c r="BHW19" s="55"/>
      <c r="BHX19" s="55"/>
      <c r="BHY19" s="55"/>
      <c r="BHZ19" s="55"/>
      <c r="BIA19" s="55"/>
      <c r="BIB19" s="55"/>
      <c r="BIC19" s="55"/>
      <c r="BID19" s="55"/>
      <c r="BIE19" s="55"/>
      <c r="BIF19" s="55"/>
      <c r="BIG19" s="55"/>
      <c r="BIH19" s="55"/>
      <c r="BII19" s="55"/>
      <c r="BIJ19" s="55"/>
      <c r="BIK19" s="55"/>
      <c r="BIL19" s="55"/>
      <c r="BIM19" s="55"/>
      <c r="BIN19" s="55"/>
      <c r="BIO19" s="55"/>
      <c r="BIP19" s="55"/>
      <c r="BIQ19" s="55"/>
      <c r="BIR19" s="55"/>
      <c r="BIS19" s="55"/>
      <c r="BIT19" s="55"/>
      <c r="BIU19" s="55"/>
      <c r="BIV19" s="55"/>
      <c r="BIW19" s="55"/>
      <c r="BIX19" s="55"/>
      <c r="BIY19" s="55"/>
      <c r="BIZ19" s="55"/>
      <c r="BJA19" s="55"/>
      <c r="BJB19" s="55"/>
      <c r="BJC19" s="55"/>
      <c r="BJD19" s="55"/>
      <c r="BJE19" s="55"/>
      <c r="BJF19" s="55"/>
      <c r="BJG19" s="55"/>
      <c r="BJH19" s="55"/>
      <c r="BJI19" s="55"/>
      <c r="BJJ19" s="55"/>
      <c r="BJK19" s="55"/>
      <c r="BJL19" s="55"/>
      <c r="BJM19" s="55"/>
      <c r="BJN19" s="55"/>
      <c r="BJO19" s="55"/>
      <c r="BJP19" s="55"/>
      <c r="BJQ19" s="55"/>
      <c r="BJR19" s="55"/>
      <c r="BJS19" s="55"/>
      <c r="BJT19" s="55"/>
      <c r="BJU19" s="55"/>
      <c r="BJV19" s="55"/>
      <c r="BJW19" s="55"/>
      <c r="BJX19" s="55"/>
      <c r="BJY19" s="55"/>
      <c r="BJZ19" s="55"/>
      <c r="BKA19" s="55"/>
      <c r="BKB19" s="55"/>
      <c r="BKC19" s="55"/>
      <c r="BKD19" s="55"/>
      <c r="BKE19" s="55"/>
      <c r="BKF19" s="55"/>
      <c r="BKG19" s="55"/>
      <c r="BKH19" s="55"/>
      <c r="BKI19" s="55"/>
      <c r="BKJ19" s="55"/>
      <c r="BKK19" s="55"/>
      <c r="BKL19" s="55"/>
      <c r="BKM19" s="55"/>
      <c r="BKN19" s="55"/>
      <c r="BKO19" s="55"/>
      <c r="BKP19" s="55"/>
      <c r="BKQ19" s="55"/>
      <c r="BKR19" s="55"/>
      <c r="BKS19" s="55"/>
      <c r="BKT19" s="55"/>
      <c r="BKU19" s="55"/>
      <c r="BKV19" s="55"/>
      <c r="BKW19" s="55"/>
      <c r="BKX19" s="55"/>
      <c r="BKY19" s="55"/>
      <c r="BKZ19" s="55"/>
      <c r="BLA19" s="55"/>
      <c r="BLB19" s="55"/>
      <c r="BLC19" s="55"/>
      <c r="BLD19" s="55"/>
      <c r="BLE19" s="55"/>
      <c r="BLF19" s="55"/>
      <c r="BLG19" s="55"/>
      <c r="BLH19" s="55"/>
      <c r="BLI19" s="55"/>
      <c r="BLJ19" s="55"/>
      <c r="BLK19" s="55"/>
      <c r="BLL19" s="55"/>
      <c r="BLM19" s="55"/>
      <c r="BLN19" s="55"/>
      <c r="BLO19" s="55"/>
      <c r="BLP19" s="55"/>
      <c r="BLQ19" s="55"/>
      <c r="BLR19" s="55"/>
      <c r="BLS19" s="55"/>
      <c r="BLT19" s="55"/>
      <c r="BLU19" s="55"/>
      <c r="BLV19" s="55"/>
      <c r="BLW19" s="55"/>
      <c r="BLX19" s="55"/>
      <c r="BLY19" s="55"/>
      <c r="BLZ19" s="55"/>
      <c r="BMA19" s="55"/>
      <c r="BMB19" s="55"/>
      <c r="BMC19" s="55"/>
      <c r="BMD19" s="55"/>
      <c r="BME19" s="55"/>
      <c r="BMF19" s="55"/>
      <c r="BMG19" s="55"/>
      <c r="BMH19" s="55"/>
      <c r="BMI19" s="55"/>
      <c r="BMJ19" s="55"/>
      <c r="BMK19" s="55"/>
      <c r="BML19" s="55"/>
      <c r="BMM19" s="55"/>
      <c r="BMN19" s="55"/>
      <c r="BMO19" s="55"/>
      <c r="BMP19" s="55"/>
      <c r="BMQ19" s="55"/>
      <c r="BMR19" s="55"/>
      <c r="BMS19" s="55"/>
      <c r="BMT19" s="55"/>
      <c r="BMU19" s="55"/>
      <c r="BMV19" s="55"/>
      <c r="BMW19" s="55"/>
      <c r="BMX19" s="55"/>
      <c r="BMY19" s="55"/>
      <c r="BMZ19" s="55"/>
      <c r="BNA19" s="55"/>
      <c r="BNB19" s="55"/>
      <c r="BNC19" s="55"/>
      <c r="BND19" s="55"/>
      <c r="BNE19" s="55"/>
      <c r="BNF19" s="55"/>
      <c r="BNG19" s="55"/>
      <c r="BNH19" s="55"/>
      <c r="BNI19" s="55"/>
      <c r="BNJ19" s="55"/>
      <c r="BNK19" s="55"/>
      <c r="BNL19" s="55"/>
      <c r="BNM19" s="55"/>
      <c r="BNN19" s="55"/>
      <c r="BNO19" s="55"/>
      <c r="BNP19" s="55"/>
      <c r="BNQ19" s="55"/>
      <c r="BNR19" s="55"/>
      <c r="BNS19" s="55"/>
      <c r="BNT19" s="55"/>
      <c r="BNU19" s="55"/>
      <c r="BNV19" s="55"/>
      <c r="BNW19" s="55"/>
      <c r="BNX19" s="55"/>
      <c r="BNY19" s="55"/>
      <c r="BNZ19" s="55"/>
      <c r="BOA19" s="55"/>
      <c r="BOB19" s="55"/>
      <c r="BOC19" s="55"/>
      <c r="BOD19" s="55"/>
      <c r="BOE19" s="55"/>
      <c r="BOF19" s="55"/>
      <c r="BOG19" s="55"/>
      <c r="BOH19" s="55"/>
      <c r="BOI19" s="55"/>
      <c r="BOJ19" s="55"/>
      <c r="BOK19" s="55"/>
      <c r="BOL19" s="55"/>
      <c r="BOM19" s="55"/>
      <c r="BON19" s="55"/>
      <c r="BOO19" s="55"/>
      <c r="BOP19" s="55"/>
      <c r="BOQ19" s="55"/>
      <c r="BOR19" s="55"/>
      <c r="BOS19" s="55"/>
      <c r="BOT19" s="55"/>
      <c r="BOU19" s="55"/>
      <c r="BOV19" s="55"/>
      <c r="BOW19" s="55"/>
      <c r="BOX19" s="55"/>
      <c r="BOY19" s="55"/>
      <c r="BOZ19" s="55"/>
      <c r="BPA19" s="55"/>
      <c r="BPB19" s="55"/>
      <c r="BPC19" s="55"/>
      <c r="BPD19" s="55"/>
      <c r="BPE19" s="55"/>
      <c r="BPF19" s="55"/>
      <c r="BPG19" s="55"/>
      <c r="BPH19" s="55"/>
      <c r="BPI19" s="55"/>
      <c r="BPJ19" s="55"/>
      <c r="BPK19" s="55"/>
      <c r="BPL19" s="55"/>
      <c r="BPM19" s="55"/>
      <c r="BPN19" s="55"/>
      <c r="BPO19" s="55"/>
      <c r="BPP19" s="55"/>
      <c r="BPQ19" s="55"/>
      <c r="BPR19" s="55"/>
      <c r="BPS19" s="55"/>
      <c r="BPT19" s="55"/>
      <c r="BPU19" s="55"/>
      <c r="BPV19" s="55"/>
      <c r="BPW19" s="55"/>
      <c r="BPX19" s="55"/>
      <c r="BPY19" s="55"/>
      <c r="BPZ19" s="55"/>
      <c r="BQA19" s="55"/>
      <c r="BQB19" s="55"/>
      <c r="BQC19" s="55"/>
      <c r="BQD19" s="55"/>
      <c r="BQE19" s="55"/>
      <c r="BQF19" s="55"/>
      <c r="BQG19" s="55"/>
      <c r="BQH19" s="55"/>
      <c r="BQI19" s="55"/>
      <c r="BQJ19" s="55"/>
      <c r="BQK19" s="55"/>
      <c r="BQL19" s="55"/>
      <c r="BQM19" s="55"/>
      <c r="BQN19" s="55"/>
      <c r="BQO19" s="55"/>
      <c r="BQP19" s="55"/>
      <c r="BQQ19" s="55"/>
      <c r="BQR19" s="55"/>
      <c r="BQS19" s="55"/>
      <c r="BQT19" s="55"/>
      <c r="BQU19" s="55"/>
      <c r="BQV19" s="55"/>
      <c r="BQW19" s="55"/>
      <c r="BQX19" s="55"/>
      <c r="BQY19" s="55"/>
      <c r="BQZ19" s="55"/>
      <c r="BRA19" s="55"/>
      <c r="BRB19" s="55"/>
      <c r="BRC19" s="55"/>
      <c r="BRD19" s="55"/>
      <c r="BRE19" s="55"/>
      <c r="BRF19" s="55"/>
      <c r="BRG19" s="55"/>
      <c r="BRH19" s="55"/>
      <c r="BRI19" s="55"/>
      <c r="BRJ19" s="55"/>
      <c r="BRK19" s="55"/>
      <c r="BRL19" s="55"/>
      <c r="BRM19" s="55"/>
      <c r="BRN19" s="55"/>
      <c r="BRO19" s="55"/>
      <c r="BRP19" s="55"/>
      <c r="BRQ19" s="55"/>
      <c r="BRR19" s="55"/>
      <c r="BRS19" s="55"/>
      <c r="BRT19" s="55"/>
      <c r="BRU19" s="55"/>
      <c r="BRV19" s="55"/>
      <c r="BRW19" s="55"/>
      <c r="BRX19" s="55"/>
      <c r="BRY19" s="55"/>
      <c r="BRZ19" s="55"/>
      <c r="BSA19" s="55"/>
      <c r="BSB19" s="55"/>
      <c r="BSC19" s="55"/>
      <c r="BSD19" s="55"/>
    </row>
    <row r="20" spans="1:1850" ht="15" customHeight="1" thickBot="1">
      <c r="A20" s="46" t="s">
        <v>17</v>
      </c>
      <c r="B20" s="44"/>
      <c r="C20" s="47">
        <f>D19+1</f>
        <v>41552</v>
      </c>
      <c r="D20" s="48">
        <f>C20+15</f>
        <v>41567</v>
      </c>
      <c r="E20" s="49" t="str">
        <f t="shared" si="1"/>
        <v>16 days</v>
      </c>
      <c r="F20" s="96"/>
      <c r="G20" s="97"/>
      <c r="H20" s="97"/>
      <c r="I20" s="97"/>
      <c r="J20" s="97"/>
      <c r="K20" s="9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98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8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55"/>
      <c r="NK20" s="55"/>
      <c r="NL20" s="55"/>
      <c r="NM20" s="55"/>
      <c r="NN20" s="55"/>
      <c r="NO20" s="55"/>
      <c r="NP20" s="55"/>
      <c r="NQ20" s="55"/>
      <c r="NR20" s="55"/>
      <c r="NS20" s="55"/>
      <c r="NT20" s="55"/>
      <c r="NU20" s="55"/>
      <c r="NV20" s="55"/>
      <c r="NW20" s="55"/>
      <c r="NX20" s="55"/>
      <c r="NY20" s="55"/>
      <c r="NZ20" s="55"/>
      <c r="OA20" s="55"/>
      <c r="OB20" s="55"/>
      <c r="OC20" s="55"/>
      <c r="OD20" s="55"/>
      <c r="OE20" s="55"/>
      <c r="OF20" s="55"/>
      <c r="OG20" s="55"/>
      <c r="OH20" s="55"/>
      <c r="OI20" s="55"/>
      <c r="OJ20" s="55"/>
      <c r="OK20" s="55"/>
      <c r="OL20" s="55"/>
      <c r="OM20" s="55"/>
      <c r="ON20" s="55"/>
      <c r="OO20" s="55"/>
      <c r="OP20" s="55"/>
      <c r="OQ20" s="55"/>
      <c r="OR20" s="55"/>
      <c r="OS20" s="55"/>
      <c r="OT20" s="55"/>
      <c r="OU20" s="55"/>
      <c r="OV20" s="55"/>
      <c r="OW20" s="55"/>
      <c r="OX20" s="55"/>
      <c r="OY20" s="55"/>
      <c r="OZ20" s="55"/>
      <c r="PA20" s="55"/>
      <c r="PB20" s="55"/>
      <c r="PC20" s="55"/>
      <c r="PD20" s="55"/>
      <c r="PE20" s="55"/>
      <c r="PF20" s="55"/>
      <c r="PG20" s="55"/>
      <c r="PH20" s="55"/>
      <c r="PI20" s="55"/>
      <c r="PJ20" s="55"/>
      <c r="PK20" s="55"/>
      <c r="PL20" s="55"/>
      <c r="PM20" s="55"/>
      <c r="PN20" s="55"/>
      <c r="PO20" s="55"/>
      <c r="PP20" s="55"/>
      <c r="PQ20" s="55"/>
      <c r="PR20" s="55"/>
      <c r="PS20" s="55"/>
      <c r="PT20" s="55"/>
      <c r="PU20" s="55"/>
      <c r="PV20" s="55"/>
      <c r="PW20" s="55"/>
      <c r="PX20" s="55"/>
      <c r="PY20" s="55"/>
      <c r="PZ20" s="55"/>
      <c r="QA20" s="55"/>
      <c r="QB20" s="55"/>
      <c r="QC20" s="55"/>
      <c r="QD20" s="55"/>
      <c r="QE20" s="55"/>
      <c r="QF20" s="55"/>
      <c r="QG20" s="55"/>
      <c r="QH20" s="55"/>
      <c r="QI20" s="55"/>
      <c r="QJ20" s="55"/>
      <c r="QK20" s="55"/>
      <c r="QL20" s="55"/>
      <c r="QM20" s="55"/>
      <c r="QN20" s="55"/>
      <c r="QO20" s="55"/>
      <c r="QP20" s="55"/>
      <c r="QQ20" s="55"/>
      <c r="QR20" s="55"/>
      <c r="QS20" s="55"/>
      <c r="QT20" s="55"/>
      <c r="QU20" s="55"/>
      <c r="QV20" s="55"/>
      <c r="QW20" s="55"/>
      <c r="QX20" s="55"/>
      <c r="QY20" s="55"/>
      <c r="QZ20" s="55"/>
      <c r="RA20" s="55"/>
      <c r="RB20" s="55"/>
      <c r="RC20" s="55"/>
      <c r="RD20" s="55"/>
      <c r="RE20" s="55"/>
      <c r="RF20" s="55"/>
      <c r="RG20" s="55"/>
      <c r="RH20" s="55"/>
      <c r="RI20" s="55"/>
      <c r="RJ20" s="55"/>
      <c r="RK20" s="55"/>
      <c r="RL20" s="55"/>
      <c r="RM20" s="55"/>
      <c r="RN20" s="55"/>
      <c r="RO20" s="55"/>
      <c r="RP20" s="55"/>
      <c r="RQ20" s="55"/>
      <c r="RR20" s="55"/>
      <c r="RS20" s="55"/>
      <c r="RT20" s="55"/>
      <c r="RU20" s="55"/>
      <c r="RV20" s="55"/>
      <c r="RW20" s="55"/>
      <c r="RX20" s="55"/>
      <c r="RY20" s="55"/>
      <c r="RZ20" s="55"/>
      <c r="SA20" s="55"/>
      <c r="SB20" s="55"/>
      <c r="SC20" s="55"/>
      <c r="SD20" s="55"/>
      <c r="SE20" s="55"/>
      <c r="SF20" s="55"/>
      <c r="SG20" s="55"/>
      <c r="SH20" s="55"/>
      <c r="SI20" s="55"/>
      <c r="SJ20" s="55"/>
      <c r="SK20" s="55"/>
      <c r="SL20" s="55"/>
      <c r="SM20" s="55"/>
      <c r="SN20" s="55"/>
      <c r="SO20" s="55"/>
      <c r="SP20" s="55"/>
      <c r="SQ20" s="55"/>
      <c r="SR20" s="55"/>
      <c r="SS20" s="55"/>
      <c r="ST20" s="55"/>
      <c r="SU20" s="55"/>
      <c r="SV20" s="55"/>
      <c r="SW20" s="55"/>
      <c r="SX20" s="55"/>
      <c r="SY20" s="55"/>
      <c r="SZ20" s="55"/>
      <c r="TA20" s="55"/>
      <c r="TB20" s="55"/>
      <c r="TC20" s="55"/>
      <c r="TD20" s="55"/>
      <c r="TE20" s="55"/>
      <c r="TF20" s="55"/>
      <c r="TG20" s="55"/>
      <c r="TH20" s="55"/>
      <c r="TI20" s="55"/>
      <c r="TJ20" s="55"/>
      <c r="TK20" s="55"/>
      <c r="TL20" s="55"/>
      <c r="TM20" s="55"/>
      <c r="TN20" s="55"/>
      <c r="TO20" s="55"/>
      <c r="TP20" s="55"/>
      <c r="TQ20" s="55"/>
      <c r="TR20" s="55"/>
      <c r="TS20" s="55"/>
      <c r="TT20" s="55"/>
      <c r="TU20" s="55"/>
      <c r="TV20" s="55"/>
      <c r="TW20" s="55"/>
      <c r="TX20" s="55"/>
      <c r="TY20" s="55"/>
      <c r="TZ20" s="55"/>
      <c r="UA20" s="55"/>
      <c r="UB20" s="55"/>
      <c r="UC20" s="55"/>
      <c r="UD20" s="55"/>
      <c r="UE20" s="55"/>
      <c r="UF20" s="55"/>
      <c r="UG20" s="55"/>
      <c r="UH20" s="55"/>
      <c r="UI20" s="55"/>
      <c r="UJ20" s="55"/>
      <c r="UK20" s="55"/>
      <c r="UL20" s="55"/>
      <c r="UM20" s="55"/>
      <c r="UN20" s="55"/>
      <c r="UO20" s="55"/>
      <c r="UP20" s="55"/>
      <c r="UQ20" s="55"/>
      <c r="UR20" s="55"/>
      <c r="US20" s="55"/>
      <c r="UT20" s="55"/>
      <c r="UU20" s="55"/>
      <c r="UV20" s="55"/>
      <c r="UW20" s="55"/>
      <c r="UX20" s="55"/>
      <c r="UY20" s="55"/>
      <c r="UZ20" s="55"/>
      <c r="VA20" s="55"/>
      <c r="VB20" s="55"/>
      <c r="VC20" s="55"/>
      <c r="VD20" s="55"/>
      <c r="VE20" s="55"/>
      <c r="VF20" s="55"/>
      <c r="VG20" s="55"/>
      <c r="VH20" s="55"/>
      <c r="VI20" s="55"/>
      <c r="VJ20" s="55"/>
      <c r="VK20" s="55"/>
      <c r="VL20" s="55"/>
      <c r="VM20" s="55"/>
      <c r="VN20" s="55"/>
      <c r="VO20" s="55"/>
      <c r="VP20" s="55"/>
      <c r="VQ20" s="55"/>
      <c r="VR20" s="55"/>
      <c r="VS20" s="55"/>
      <c r="VT20" s="55"/>
      <c r="VU20" s="55"/>
      <c r="VV20" s="55"/>
      <c r="VW20" s="55"/>
      <c r="VX20" s="55"/>
      <c r="VY20" s="55"/>
      <c r="VZ20" s="55"/>
      <c r="WA20" s="55"/>
      <c r="WB20" s="55"/>
      <c r="WC20" s="55"/>
      <c r="WD20" s="55"/>
      <c r="WE20" s="55"/>
      <c r="WF20" s="55"/>
      <c r="WG20" s="55"/>
      <c r="WH20" s="55"/>
      <c r="WI20" s="55"/>
      <c r="WJ20" s="55"/>
      <c r="WK20" s="55"/>
      <c r="WL20" s="55"/>
      <c r="WM20" s="55"/>
      <c r="WN20" s="55"/>
      <c r="WO20" s="55"/>
      <c r="WP20" s="55"/>
      <c r="WQ20" s="55"/>
      <c r="WR20" s="55"/>
      <c r="WS20" s="55"/>
      <c r="WT20" s="55"/>
      <c r="WU20" s="55"/>
      <c r="WV20" s="55"/>
      <c r="WW20" s="55"/>
      <c r="WX20" s="55"/>
      <c r="WY20" s="55"/>
      <c r="WZ20" s="55"/>
      <c r="XA20" s="55"/>
      <c r="XB20" s="55"/>
      <c r="XC20" s="55"/>
      <c r="XD20" s="55"/>
      <c r="XE20" s="55"/>
      <c r="XF20" s="55"/>
      <c r="XG20" s="55"/>
      <c r="XH20" s="55"/>
      <c r="XI20" s="55"/>
      <c r="XJ20" s="55"/>
      <c r="XK20" s="55"/>
      <c r="XL20" s="55"/>
      <c r="XM20" s="55"/>
      <c r="XN20" s="55"/>
      <c r="XO20" s="55"/>
      <c r="XP20" s="55"/>
      <c r="XQ20" s="55"/>
      <c r="XR20" s="55"/>
      <c r="XS20" s="55"/>
      <c r="XT20" s="55"/>
      <c r="XU20" s="55"/>
      <c r="XV20" s="55"/>
      <c r="XW20" s="55"/>
      <c r="XX20" s="55"/>
      <c r="XY20" s="55"/>
      <c r="XZ20" s="55"/>
      <c r="YA20" s="55"/>
      <c r="YB20" s="55"/>
      <c r="YC20" s="55"/>
      <c r="YD20" s="55"/>
      <c r="YE20" s="55"/>
      <c r="YF20" s="55"/>
      <c r="YG20" s="55"/>
      <c r="YH20" s="55"/>
      <c r="YI20" s="55"/>
      <c r="YJ20" s="55"/>
      <c r="YK20" s="55"/>
      <c r="YL20" s="55"/>
      <c r="YM20" s="55"/>
      <c r="YN20" s="55"/>
      <c r="YO20" s="55"/>
      <c r="YP20" s="55"/>
      <c r="YQ20" s="55"/>
      <c r="YR20" s="55"/>
      <c r="YS20" s="55"/>
      <c r="YT20" s="55"/>
      <c r="YU20" s="55"/>
      <c r="YV20" s="55"/>
      <c r="YW20" s="55"/>
      <c r="YX20" s="55"/>
      <c r="YY20" s="55"/>
      <c r="YZ20" s="55"/>
      <c r="ZA20" s="55"/>
      <c r="ZB20" s="55"/>
      <c r="ZC20" s="55"/>
      <c r="ZD20" s="55"/>
      <c r="ZE20" s="55"/>
      <c r="ZF20" s="55"/>
      <c r="ZG20" s="55"/>
      <c r="ZH20" s="55"/>
      <c r="ZI20" s="55"/>
      <c r="ZJ20" s="55"/>
      <c r="ZK20" s="55"/>
      <c r="ZL20" s="55"/>
      <c r="ZM20" s="55"/>
      <c r="ZN20" s="55"/>
      <c r="ZO20" s="55"/>
      <c r="ZP20" s="55"/>
      <c r="ZQ20" s="55"/>
      <c r="ZR20" s="55"/>
      <c r="ZS20" s="55"/>
      <c r="ZT20" s="55"/>
      <c r="ZU20" s="55"/>
      <c r="ZV20" s="55"/>
      <c r="ZW20" s="55"/>
      <c r="ZX20" s="55"/>
      <c r="ZY20" s="55"/>
      <c r="ZZ20" s="55"/>
      <c r="AAA20" s="55"/>
      <c r="AAB20" s="55"/>
      <c r="AAC20" s="55"/>
      <c r="AAD20" s="55"/>
      <c r="AAE20" s="55"/>
      <c r="AAF20" s="55"/>
      <c r="AAG20" s="55"/>
      <c r="AAH20" s="55"/>
      <c r="AAI20" s="55"/>
      <c r="AAJ20" s="55"/>
      <c r="AAK20" s="55"/>
      <c r="AAL20" s="55"/>
      <c r="AAM20" s="55"/>
      <c r="AAN20" s="55"/>
      <c r="AAO20" s="55"/>
      <c r="AAP20" s="55"/>
      <c r="AAQ20" s="55"/>
      <c r="AAR20" s="55"/>
      <c r="AAS20" s="55"/>
      <c r="AAT20" s="55"/>
      <c r="AAU20" s="55"/>
      <c r="AAV20" s="55"/>
      <c r="AAW20" s="55"/>
      <c r="AAX20" s="55"/>
      <c r="AAY20" s="55"/>
      <c r="AAZ20" s="55"/>
      <c r="ABA20" s="55"/>
      <c r="ABB20" s="55"/>
      <c r="ABC20" s="55"/>
      <c r="ABD20" s="55"/>
      <c r="ABE20" s="55"/>
      <c r="ABF20" s="55"/>
      <c r="ABG20" s="55"/>
      <c r="ABH20" s="55"/>
      <c r="ABI20" s="55"/>
      <c r="ABJ20" s="55"/>
      <c r="ABK20" s="55"/>
      <c r="ABL20" s="55"/>
      <c r="ABM20" s="55"/>
      <c r="ABN20" s="55"/>
      <c r="ABO20" s="55"/>
      <c r="ABP20" s="55"/>
      <c r="ABQ20" s="55"/>
      <c r="ABR20" s="55"/>
      <c r="ABS20" s="55"/>
      <c r="ABT20" s="55"/>
      <c r="ABU20" s="55"/>
      <c r="ABV20" s="55"/>
      <c r="ABW20" s="55"/>
      <c r="ABX20" s="55"/>
      <c r="ABY20" s="55"/>
      <c r="ABZ20" s="55"/>
      <c r="ACA20" s="55"/>
      <c r="ACB20" s="55"/>
      <c r="ACC20" s="55"/>
      <c r="ACD20" s="55"/>
      <c r="ACE20" s="55"/>
      <c r="ACF20" s="55"/>
      <c r="ACG20" s="55"/>
      <c r="ACH20" s="55"/>
      <c r="ACI20" s="55"/>
      <c r="ACJ20" s="55"/>
      <c r="ACK20" s="55"/>
      <c r="ACL20" s="55"/>
      <c r="ACM20" s="55"/>
      <c r="ACN20" s="55"/>
      <c r="ACO20" s="55"/>
      <c r="ACP20" s="55"/>
      <c r="ACQ20" s="55"/>
      <c r="ACR20" s="55"/>
      <c r="ACS20" s="55"/>
      <c r="ACT20" s="55"/>
      <c r="ACU20" s="55"/>
      <c r="ACV20" s="55"/>
      <c r="ACW20" s="55"/>
      <c r="ACX20" s="55"/>
      <c r="ACY20" s="55"/>
      <c r="ACZ20" s="55"/>
      <c r="ADA20" s="55"/>
      <c r="ADB20" s="55"/>
      <c r="ADC20" s="55"/>
      <c r="ADD20" s="55"/>
      <c r="ADE20" s="55"/>
      <c r="ADF20" s="55"/>
      <c r="ADG20" s="55"/>
      <c r="ADH20" s="55"/>
      <c r="ADI20" s="55"/>
      <c r="ADJ20" s="55"/>
      <c r="ADK20" s="55"/>
      <c r="ADL20" s="55"/>
      <c r="ADM20" s="55"/>
      <c r="ADN20" s="55"/>
      <c r="ADO20" s="55"/>
      <c r="ADP20" s="55"/>
      <c r="ADQ20" s="55"/>
      <c r="ADR20" s="55"/>
      <c r="ADS20" s="55"/>
      <c r="ADT20" s="55"/>
      <c r="ADU20" s="55"/>
      <c r="ADV20" s="55"/>
      <c r="ADW20" s="55"/>
      <c r="ADX20" s="55"/>
      <c r="ADY20" s="55"/>
      <c r="ADZ20" s="55"/>
      <c r="AEA20" s="55"/>
      <c r="AEB20" s="55"/>
      <c r="AEC20" s="55"/>
      <c r="AED20" s="55"/>
      <c r="AEE20" s="55"/>
      <c r="AEF20" s="55"/>
      <c r="AEG20" s="55"/>
      <c r="AEH20" s="55"/>
      <c r="AEI20" s="55"/>
      <c r="AEJ20" s="55"/>
      <c r="AEK20" s="55"/>
      <c r="AEL20" s="55"/>
      <c r="AEM20" s="55"/>
      <c r="AEN20" s="55"/>
      <c r="AEO20" s="55"/>
      <c r="AEP20" s="55"/>
      <c r="AEQ20" s="55"/>
      <c r="AER20" s="55"/>
      <c r="AES20" s="55"/>
      <c r="AET20" s="55"/>
      <c r="AEU20" s="55"/>
      <c r="AEV20" s="55"/>
      <c r="AEW20" s="55"/>
      <c r="AEX20" s="55"/>
      <c r="AEY20" s="55"/>
      <c r="AEZ20" s="55"/>
      <c r="AFA20" s="55"/>
      <c r="AFB20" s="55"/>
      <c r="AFC20" s="55"/>
      <c r="AFD20" s="55"/>
      <c r="AFE20" s="55"/>
      <c r="AFF20" s="55"/>
      <c r="AFG20" s="55"/>
      <c r="AFH20" s="55"/>
      <c r="AFI20" s="55"/>
      <c r="AFJ20" s="55"/>
      <c r="AFK20" s="55"/>
      <c r="AFL20" s="55"/>
      <c r="AFM20" s="55"/>
      <c r="AFN20" s="55"/>
      <c r="AFO20" s="55"/>
      <c r="AFP20" s="55"/>
      <c r="AFQ20" s="55"/>
      <c r="AFR20" s="55"/>
      <c r="AFS20" s="55"/>
      <c r="AFT20" s="55"/>
      <c r="AFU20" s="55"/>
      <c r="AFV20" s="55"/>
      <c r="AFW20" s="55"/>
      <c r="AFX20" s="55"/>
      <c r="AFY20" s="55"/>
      <c r="AFZ20" s="55"/>
      <c r="AGA20" s="55"/>
      <c r="AGB20" s="55"/>
      <c r="AGC20" s="55"/>
      <c r="AGD20" s="55"/>
      <c r="AGE20" s="55"/>
      <c r="AGF20" s="55"/>
      <c r="AGG20" s="55"/>
      <c r="AGH20" s="55"/>
      <c r="AGI20" s="55"/>
      <c r="AGJ20" s="55"/>
      <c r="AGK20" s="55"/>
      <c r="AGL20" s="55"/>
      <c r="AGM20" s="55"/>
      <c r="AGN20" s="55"/>
      <c r="AGO20" s="55"/>
      <c r="AGP20" s="55"/>
      <c r="AGQ20" s="55"/>
      <c r="AGR20" s="55"/>
      <c r="AGS20" s="55"/>
      <c r="AGT20" s="55"/>
      <c r="AGU20" s="55"/>
      <c r="AGV20" s="55"/>
      <c r="AGW20" s="55"/>
      <c r="AGX20" s="55"/>
      <c r="AGY20" s="55"/>
      <c r="AGZ20" s="55"/>
      <c r="AHA20" s="55"/>
      <c r="AHB20" s="55"/>
      <c r="AHC20" s="55"/>
      <c r="AHD20" s="55"/>
      <c r="AHE20" s="55"/>
      <c r="AHF20" s="55"/>
      <c r="AHG20" s="55"/>
      <c r="AHH20" s="55"/>
      <c r="AHI20" s="55"/>
      <c r="AHJ20" s="55"/>
      <c r="AHK20" s="55"/>
      <c r="AHL20" s="55"/>
      <c r="AHM20" s="55"/>
      <c r="AHN20" s="55"/>
      <c r="AHO20" s="55"/>
      <c r="AHP20" s="55"/>
      <c r="AHQ20" s="55"/>
      <c r="AHR20" s="55"/>
      <c r="AHS20" s="55"/>
      <c r="AHT20" s="55"/>
      <c r="AHU20" s="55"/>
      <c r="AHV20" s="55"/>
      <c r="AHW20" s="55"/>
      <c r="AHX20" s="55"/>
      <c r="AHY20" s="55"/>
      <c r="AHZ20" s="55"/>
      <c r="AIA20" s="55"/>
      <c r="AIB20" s="55"/>
      <c r="AIC20" s="55"/>
      <c r="AID20" s="55"/>
      <c r="AIE20" s="55"/>
      <c r="AIF20" s="55"/>
      <c r="AIG20" s="55"/>
      <c r="AIH20" s="55"/>
      <c r="AII20" s="55"/>
      <c r="AIJ20" s="55"/>
      <c r="AIK20" s="55"/>
      <c r="AIL20" s="55"/>
      <c r="AIM20" s="55"/>
      <c r="AIN20" s="55"/>
      <c r="AIO20" s="55"/>
      <c r="AIP20" s="55"/>
      <c r="AIQ20" s="55"/>
      <c r="AIR20" s="55"/>
      <c r="AIS20" s="55"/>
      <c r="AIT20" s="55"/>
      <c r="AIU20" s="55"/>
      <c r="AIV20" s="55"/>
      <c r="AIW20" s="55"/>
      <c r="AIX20" s="55"/>
      <c r="AIY20" s="55"/>
      <c r="AIZ20" s="55"/>
      <c r="AJA20" s="55"/>
      <c r="AJB20" s="55"/>
      <c r="AJC20" s="55"/>
      <c r="AJD20" s="55"/>
      <c r="AJE20" s="55"/>
      <c r="AJF20" s="55"/>
      <c r="AJG20" s="55"/>
      <c r="AJH20" s="55"/>
      <c r="AJI20" s="55"/>
      <c r="AJJ20" s="55"/>
      <c r="AJK20" s="55"/>
      <c r="AJL20" s="55"/>
      <c r="AJM20" s="55"/>
      <c r="AJN20" s="55"/>
      <c r="AJO20" s="55"/>
      <c r="AJP20" s="55"/>
      <c r="AJQ20" s="55"/>
      <c r="AJR20" s="55"/>
      <c r="AJS20" s="55"/>
      <c r="AJT20" s="55"/>
      <c r="AJU20" s="55"/>
      <c r="AJV20" s="55"/>
      <c r="AJW20" s="55"/>
      <c r="AJX20" s="55"/>
      <c r="AJY20" s="55"/>
      <c r="AJZ20" s="55"/>
      <c r="AKA20" s="55"/>
      <c r="AKB20" s="55"/>
      <c r="AKC20" s="55"/>
      <c r="AKD20" s="55"/>
      <c r="AKE20" s="55"/>
      <c r="AKF20" s="55"/>
      <c r="AKG20" s="55"/>
      <c r="AKH20" s="55"/>
      <c r="AKI20" s="55"/>
      <c r="AKJ20" s="55"/>
      <c r="AKK20" s="55"/>
      <c r="AKL20" s="55"/>
      <c r="AKM20" s="55"/>
      <c r="AKN20" s="55"/>
      <c r="AKO20" s="55"/>
      <c r="AKP20" s="55"/>
      <c r="AKQ20" s="55"/>
      <c r="AKR20" s="55"/>
      <c r="AKS20" s="55"/>
      <c r="AKT20" s="55"/>
      <c r="AKU20" s="55"/>
      <c r="AKV20" s="55"/>
      <c r="AKW20" s="55"/>
      <c r="AKX20" s="55"/>
      <c r="AKY20" s="55"/>
      <c r="AKZ20" s="55"/>
      <c r="ALA20" s="55"/>
      <c r="ALB20" s="55"/>
      <c r="ALC20" s="55"/>
      <c r="ALD20" s="55"/>
      <c r="ALE20" s="55"/>
      <c r="ALF20" s="55"/>
      <c r="ALG20" s="55"/>
      <c r="ALH20" s="55"/>
      <c r="ALI20" s="55"/>
      <c r="ALJ20" s="55"/>
      <c r="ALK20" s="55"/>
      <c r="ALL20" s="55"/>
      <c r="ALM20" s="55"/>
      <c r="ALN20" s="55"/>
      <c r="ALO20" s="55"/>
      <c r="ALP20" s="55"/>
      <c r="ALQ20" s="55"/>
      <c r="ALR20" s="55"/>
      <c r="ALS20" s="55"/>
      <c r="ALT20" s="55"/>
      <c r="ALU20" s="55"/>
      <c r="ALV20" s="55"/>
      <c r="ALW20" s="55"/>
      <c r="ALX20" s="55"/>
      <c r="ALY20" s="55"/>
      <c r="ALZ20" s="55"/>
      <c r="AMA20" s="55"/>
      <c r="AMB20" s="55"/>
      <c r="AMC20" s="55"/>
      <c r="AMD20" s="55"/>
      <c r="AME20" s="55"/>
      <c r="AMF20" s="55"/>
      <c r="AMG20" s="55"/>
      <c r="AMH20" s="55"/>
      <c r="AMI20" s="55"/>
      <c r="AMJ20" s="55"/>
      <c r="AMK20" s="55"/>
      <c r="AML20" s="55"/>
      <c r="AMM20" s="55"/>
      <c r="AMN20" s="55"/>
      <c r="AMO20" s="55"/>
      <c r="AMP20" s="55"/>
      <c r="AMQ20" s="55"/>
      <c r="AMR20" s="55"/>
      <c r="AMS20" s="55"/>
      <c r="AMT20" s="55"/>
      <c r="AMU20" s="55"/>
      <c r="AMV20" s="55"/>
      <c r="AMW20" s="55"/>
      <c r="AMX20" s="55"/>
      <c r="AMY20" s="55"/>
      <c r="AMZ20" s="55"/>
      <c r="ANA20" s="55"/>
      <c r="ANB20" s="55"/>
      <c r="ANC20" s="55"/>
      <c r="AND20" s="55"/>
      <c r="ANE20" s="55"/>
      <c r="ANF20" s="55"/>
      <c r="ANG20" s="55"/>
      <c r="ANH20" s="55"/>
      <c r="ANI20" s="55"/>
      <c r="ANJ20" s="55"/>
      <c r="ANK20" s="55"/>
      <c r="ANL20" s="55"/>
      <c r="ANM20" s="55"/>
      <c r="ANN20" s="55"/>
      <c r="ANO20" s="55"/>
      <c r="ANP20" s="55"/>
      <c r="ANQ20" s="55"/>
      <c r="ANR20" s="55"/>
      <c r="ANS20" s="55"/>
      <c r="ANT20" s="55"/>
      <c r="ANU20" s="55"/>
      <c r="ANV20" s="55"/>
      <c r="ANW20" s="55"/>
      <c r="ANX20" s="55"/>
      <c r="ANY20" s="55"/>
      <c r="ANZ20" s="55"/>
      <c r="AOA20" s="55"/>
      <c r="AOB20" s="55"/>
      <c r="AOC20" s="55"/>
      <c r="AOD20" s="55"/>
      <c r="AOE20" s="55"/>
      <c r="AOF20" s="55"/>
      <c r="AOG20" s="55"/>
      <c r="AOH20" s="55"/>
      <c r="AOI20" s="55"/>
      <c r="AOJ20" s="55"/>
      <c r="AOK20" s="55"/>
      <c r="AOL20" s="55"/>
      <c r="AOM20" s="55"/>
      <c r="AON20" s="55"/>
      <c r="AOO20" s="55"/>
      <c r="AOP20" s="55"/>
      <c r="AOQ20" s="55"/>
      <c r="AOR20" s="55"/>
      <c r="AOS20" s="55"/>
      <c r="AOT20" s="55"/>
      <c r="AOU20" s="55"/>
      <c r="AOV20" s="55"/>
      <c r="AOW20" s="55"/>
      <c r="AOX20" s="55"/>
      <c r="AOY20" s="55"/>
      <c r="AOZ20" s="55"/>
      <c r="APA20" s="55"/>
      <c r="APB20" s="55"/>
      <c r="APC20" s="55"/>
      <c r="APD20" s="55"/>
      <c r="APE20" s="55"/>
      <c r="APF20" s="55"/>
      <c r="APG20" s="55"/>
      <c r="APH20" s="55"/>
      <c r="API20" s="55"/>
      <c r="APJ20" s="55"/>
      <c r="APK20" s="55"/>
      <c r="APL20" s="55"/>
      <c r="APM20" s="55"/>
      <c r="APN20" s="55"/>
      <c r="APO20" s="55"/>
      <c r="APP20" s="55"/>
      <c r="APQ20" s="55"/>
      <c r="APR20" s="55"/>
      <c r="APS20" s="55"/>
      <c r="APT20" s="55"/>
      <c r="APU20" s="55"/>
      <c r="APV20" s="55"/>
      <c r="APW20" s="55"/>
      <c r="APX20" s="55"/>
      <c r="APY20" s="55"/>
      <c r="APZ20" s="55"/>
      <c r="AQA20" s="55"/>
      <c r="AQB20" s="55"/>
      <c r="AQC20" s="55"/>
      <c r="AQD20" s="55"/>
      <c r="AQE20" s="55"/>
      <c r="AQF20" s="55"/>
      <c r="AQG20" s="55"/>
      <c r="AQH20" s="55"/>
      <c r="AQI20" s="55"/>
      <c r="AQJ20" s="55"/>
      <c r="AQK20" s="55"/>
      <c r="AQL20" s="55"/>
      <c r="AQM20" s="55"/>
      <c r="AQN20" s="55"/>
      <c r="AQO20" s="55"/>
      <c r="AQP20" s="55"/>
      <c r="AQQ20" s="55"/>
      <c r="AQR20" s="55"/>
      <c r="AQS20" s="55"/>
      <c r="AQT20" s="55"/>
      <c r="AQU20" s="55"/>
      <c r="AQV20" s="55"/>
      <c r="AQW20" s="55"/>
      <c r="AQX20" s="55"/>
      <c r="AQY20" s="55"/>
      <c r="AQZ20" s="55"/>
      <c r="ARA20" s="55"/>
      <c r="ARB20" s="55"/>
      <c r="ARC20" s="55"/>
      <c r="ARD20" s="55"/>
      <c r="ARE20" s="55"/>
      <c r="ARF20" s="55"/>
      <c r="ARG20" s="55"/>
      <c r="ARH20" s="55"/>
      <c r="ARI20" s="55"/>
      <c r="ARJ20" s="55"/>
      <c r="ARK20" s="55"/>
      <c r="ARL20" s="55"/>
      <c r="ARM20" s="55"/>
      <c r="ARN20" s="55"/>
      <c r="ARO20" s="55"/>
      <c r="ARP20" s="55"/>
      <c r="ARQ20" s="55"/>
      <c r="ARR20" s="55"/>
      <c r="ARS20" s="55"/>
      <c r="ART20" s="55"/>
      <c r="ARU20" s="55"/>
      <c r="ARV20" s="55"/>
      <c r="ARW20" s="55"/>
      <c r="ARX20" s="55"/>
      <c r="ARY20" s="55"/>
      <c r="ARZ20" s="55"/>
      <c r="ASA20" s="55"/>
      <c r="ASB20" s="55"/>
      <c r="ASC20" s="55"/>
      <c r="ASD20" s="55"/>
      <c r="ASE20" s="55"/>
      <c r="ASF20" s="55"/>
      <c r="ASG20" s="55"/>
      <c r="ASH20" s="55"/>
      <c r="ASI20" s="55"/>
      <c r="ASJ20" s="55"/>
      <c r="ASK20" s="55"/>
      <c r="ASL20" s="55"/>
      <c r="ASM20" s="55"/>
      <c r="ASN20" s="55"/>
      <c r="ASO20" s="55"/>
      <c r="ASP20" s="55"/>
      <c r="ASQ20" s="55"/>
      <c r="ASR20" s="55"/>
      <c r="ASS20" s="55"/>
      <c r="AST20" s="55"/>
      <c r="ASU20" s="55"/>
      <c r="ASV20" s="55"/>
      <c r="ASW20" s="55"/>
      <c r="ASX20" s="55"/>
      <c r="ASY20" s="55"/>
      <c r="ASZ20" s="55"/>
      <c r="ATA20" s="55"/>
      <c r="ATB20" s="55"/>
      <c r="ATC20" s="55"/>
      <c r="ATD20" s="55"/>
      <c r="ATE20" s="55"/>
      <c r="ATF20" s="55"/>
      <c r="ATG20" s="55"/>
      <c r="ATH20" s="55"/>
      <c r="ATI20" s="55"/>
      <c r="ATJ20" s="55"/>
      <c r="ATK20" s="55"/>
      <c r="ATL20" s="55"/>
      <c r="ATM20" s="55"/>
      <c r="ATN20" s="55"/>
      <c r="ATO20" s="55"/>
      <c r="ATP20" s="55"/>
      <c r="ATQ20" s="55"/>
      <c r="ATR20" s="55"/>
      <c r="ATS20" s="55"/>
      <c r="ATT20" s="55"/>
      <c r="ATU20" s="55"/>
      <c r="ATV20" s="55"/>
      <c r="ATW20" s="55"/>
      <c r="ATX20" s="55"/>
      <c r="ATY20" s="55"/>
      <c r="ATZ20" s="55"/>
      <c r="AUA20" s="55"/>
      <c r="AUB20" s="55"/>
      <c r="AUC20" s="55"/>
      <c r="AUD20" s="55"/>
      <c r="AUE20" s="55"/>
      <c r="AUF20" s="55"/>
      <c r="AUG20" s="55"/>
      <c r="AUH20" s="55"/>
      <c r="AUI20" s="55"/>
      <c r="AUJ20" s="55"/>
      <c r="AUK20" s="55"/>
      <c r="AUL20" s="55"/>
      <c r="AUM20" s="55"/>
      <c r="AUN20" s="55"/>
      <c r="AUO20" s="55"/>
      <c r="AUP20" s="55"/>
      <c r="AUQ20" s="55"/>
      <c r="AUR20" s="55"/>
      <c r="AUS20" s="55"/>
      <c r="AUT20" s="55"/>
      <c r="AUU20" s="55"/>
      <c r="AUV20" s="55"/>
      <c r="AUW20" s="55"/>
      <c r="AUX20" s="55"/>
      <c r="AUY20" s="55"/>
      <c r="AUZ20" s="55"/>
      <c r="AVA20" s="55"/>
      <c r="AVB20" s="55"/>
      <c r="AVC20" s="55"/>
      <c r="AVD20" s="55"/>
      <c r="AVE20" s="55"/>
      <c r="AVF20" s="55"/>
      <c r="AVG20" s="55"/>
      <c r="AVH20" s="55"/>
      <c r="AVI20" s="55"/>
      <c r="AVJ20" s="55"/>
      <c r="AVK20" s="55"/>
      <c r="AVL20" s="55"/>
      <c r="AVM20" s="55"/>
      <c r="AVN20" s="55"/>
      <c r="AVO20" s="55"/>
      <c r="AVP20" s="55"/>
      <c r="AVQ20" s="55"/>
      <c r="AVR20" s="55"/>
      <c r="AVS20" s="55"/>
      <c r="AVT20" s="55"/>
      <c r="AVU20" s="55"/>
      <c r="AVV20" s="55"/>
      <c r="AVW20" s="55"/>
      <c r="AVX20" s="55"/>
      <c r="AVY20" s="55"/>
      <c r="AVZ20" s="55"/>
      <c r="AWA20" s="55"/>
      <c r="AWB20" s="55"/>
      <c r="AWC20" s="55"/>
      <c r="AWD20" s="55"/>
      <c r="AWE20" s="55"/>
      <c r="AWF20" s="55"/>
      <c r="AWG20" s="55"/>
      <c r="AWH20" s="55"/>
      <c r="AWI20" s="55"/>
      <c r="AWJ20" s="55"/>
      <c r="AWK20" s="55"/>
      <c r="AWL20" s="55"/>
      <c r="AWM20" s="55"/>
      <c r="AWN20" s="55"/>
      <c r="AWO20" s="55"/>
      <c r="AWP20" s="55"/>
      <c r="AWQ20" s="55"/>
      <c r="AWR20" s="55"/>
      <c r="AWS20" s="55"/>
      <c r="AWT20" s="55"/>
      <c r="AWU20" s="55"/>
      <c r="AWV20" s="55"/>
      <c r="AWW20" s="55"/>
      <c r="AWX20" s="55"/>
      <c r="AWY20" s="55"/>
      <c r="AWZ20" s="55"/>
      <c r="AXA20" s="55"/>
      <c r="AXB20" s="55"/>
      <c r="AXC20" s="55"/>
      <c r="AXD20" s="55"/>
      <c r="AXE20" s="55"/>
      <c r="AXF20" s="55"/>
      <c r="AXG20" s="55"/>
      <c r="AXH20" s="55"/>
      <c r="AXI20" s="55"/>
      <c r="AXJ20" s="55"/>
      <c r="AXK20" s="55"/>
      <c r="AXL20" s="55"/>
      <c r="AXM20" s="55"/>
      <c r="AXN20" s="55"/>
      <c r="AXO20" s="55"/>
      <c r="AXP20" s="55"/>
      <c r="AXQ20" s="55"/>
      <c r="AXR20" s="55"/>
      <c r="AXS20" s="55"/>
      <c r="AXT20" s="55"/>
      <c r="AXU20" s="55"/>
      <c r="AXV20" s="55"/>
      <c r="AXW20" s="55"/>
      <c r="AXX20" s="55"/>
      <c r="AXY20" s="55"/>
      <c r="AXZ20" s="55"/>
      <c r="AYA20" s="55"/>
      <c r="AYB20" s="55"/>
      <c r="AYC20" s="55"/>
      <c r="AYD20" s="55"/>
      <c r="AYE20" s="55"/>
      <c r="AYF20" s="55"/>
      <c r="AYG20" s="55"/>
      <c r="AYH20" s="55"/>
      <c r="AYI20" s="55"/>
      <c r="AYJ20" s="55"/>
      <c r="AYK20" s="55"/>
      <c r="AYL20" s="55"/>
      <c r="AYM20" s="55"/>
      <c r="AYN20" s="55"/>
      <c r="AYO20" s="55"/>
      <c r="AYP20" s="55"/>
      <c r="AYQ20" s="55"/>
      <c r="AYR20" s="55"/>
      <c r="AYS20" s="55"/>
      <c r="AYT20" s="55"/>
      <c r="AYU20" s="55"/>
      <c r="AYV20" s="55"/>
      <c r="AYW20" s="55"/>
      <c r="AYX20" s="55"/>
      <c r="AYY20" s="55"/>
      <c r="AYZ20" s="55"/>
      <c r="AZA20" s="55"/>
      <c r="AZB20" s="55"/>
      <c r="AZC20" s="55"/>
      <c r="AZD20" s="55"/>
      <c r="AZE20" s="55"/>
      <c r="AZF20" s="55"/>
      <c r="AZG20" s="55"/>
      <c r="AZH20" s="55"/>
      <c r="AZI20" s="55"/>
      <c r="AZJ20" s="55"/>
      <c r="AZK20" s="55"/>
      <c r="AZL20" s="55"/>
      <c r="AZM20" s="55"/>
      <c r="AZN20" s="55"/>
      <c r="AZO20" s="55"/>
      <c r="AZP20" s="55"/>
      <c r="AZQ20" s="55"/>
      <c r="AZR20" s="55"/>
      <c r="AZS20" s="55"/>
      <c r="AZT20" s="55"/>
      <c r="AZU20" s="55"/>
      <c r="AZV20" s="55"/>
      <c r="AZW20" s="55"/>
      <c r="AZX20" s="55"/>
      <c r="AZY20" s="55"/>
      <c r="AZZ20" s="55"/>
      <c r="BAA20" s="55"/>
      <c r="BAB20" s="55"/>
      <c r="BAC20" s="55"/>
      <c r="BAD20" s="55"/>
      <c r="BAE20" s="55"/>
      <c r="BAF20" s="55"/>
      <c r="BAG20" s="55"/>
      <c r="BAH20" s="55"/>
      <c r="BAI20" s="55"/>
      <c r="BAJ20" s="55"/>
      <c r="BAK20" s="55"/>
      <c r="BAL20" s="55"/>
      <c r="BAM20" s="55"/>
      <c r="BAN20" s="55"/>
      <c r="BAO20" s="55"/>
      <c r="BAP20" s="55"/>
      <c r="BAQ20" s="55"/>
      <c r="BAR20" s="55"/>
      <c r="BAS20" s="55"/>
      <c r="BAT20" s="55"/>
      <c r="BAU20" s="55"/>
      <c r="BAV20" s="55"/>
      <c r="BAW20" s="55"/>
      <c r="BAX20" s="55"/>
      <c r="BAY20" s="55"/>
      <c r="BAZ20" s="55"/>
      <c r="BBA20" s="55"/>
      <c r="BBB20" s="55"/>
      <c r="BBC20" s="55"/>
      <c r="BBD20" s="55"/>
      <c r="BBE20" s="55"/>
      <c r="BBF20" s="55"/>
      <c r="BBG20" s="55"/>
      <c r="BBH20" s="55"/>
      <c r="BBI20" s="55"/>
      <c r="BBJ20" s="55"/>
      <c r="BBK20" s="55"/>
      <c r="BBL20" s="55"/>
      <c r="BBM20" s="55"/>
      <c r="BBN20" s="55"/>
      <c r="BBO20" s="55"/>
      <c r="BBP20" s="55"/>
      <c r="BBQ20" s="55"/>
      <c r="BBR20" s="55"/>
      <c r="BBS20" s="55"/>
      <c r="BBT20" s="55"/>
      <c r="BBU20" s="55"/>
      <c r="BBV20" s="55"/>
      <c r="BBW20" s="55"/>
      <c r="BBX20" s="55"/>
      <c r="BBY20" s="55"/>
      <c r="BBZ20" s="55"/>
      <c r="BCA20" s="55"/>
      <c r="BCB20" s="55"/>
      <c r="BCC20" s="55"/>
      <c r="BCD20" s="55"/>
      <c r="BCE20" s="55"/>
      <c r="BCF20" s="55"/>
      <c r="BCG20" s="55"/>
      <c r="BCH20" s="55"/>
      <c r="BCI20" s="55"/>
      <c r="BCJ20" s="55"/>
      <c r="BCK20" s="55"/>
      <c r="BCL20" s="55"/>
      <c r="BCM20" s="55"/>
      <c r="BCN20" s="55"/>
      <c r="BCO20" s="55"/>
      <c r="BCP20" s="55"/>
      <c r="BCQ20" s="55"/>
      <c r="BCR20" s="55"/>
      <c r="BCS20" s="55"/>
      <c r="BCT20" s="55"/>
      <c r="BCU20" s="55"/>
      <c r="BCV20" s="55"/>
      <c r="BCW20" s="55"/>
      <c r="BCX20" s="55"/>
      <c r="BCY20" s="55"/>
      <c r="BCZ20" s="55"/>
      <c r="BDA20" s="55"/>
      <c r="BDB20" s="55"/>
      <c r="BDC20" s="55"/>
      <c r="BDD20" s="55"/>
      <c r="BDE20" s="55"/>
      <c r="BDF20" s="55"/>
      <c r="BDG20" s="55"/>
      <c r="BDH20" s="55"/>
      <c r="BDI20" s="55"/>
      <c r="BDJ20" s="55"/>
      <c r="BDK20" s="55"/>
      <c r="BDL20" s="55"/>
      <c r="BDM20" s="55"/>
      <c r="BDN20" s="55"/>
      <c r="BDO20" s="55"/>
      <c r="BDP20" s="55"/>
      <c r="BDQ20" s="55"/>
      <c r="BDR20" s="55"/>
      <c r="BDS20" s="55"/>
      <c r="BDT20" s="55"/>
      <c r="BDU20" s="55"/>
      <c r="BDV20" s="55"/>
      <c r="BDW20" s="55"/>
      <c r="BDX20" s="55"/>
      <c r="BDY20" s="55"/>
      <c r="BDZ20" s="55"/>
      <c r="BEA20" s="55"/>
      <c r="BEB20" s="55"/>
      <c r="BEC20" s="55"/>
      <c r="BED20" s="55"/>
      <c r="BEE20" s="55"/>
      <c r="BEF20" s="55"/>
      <c r="BEG20" s="55"/>
      <c r="BEH20" s="55"/>
      <c r="BEI20" s="55"/>
      <c r="BEJ20" s="55"/>
      <c r="BEK20" s="55"/>
      <c r="BEL20" s="55"/>
      <c r="BEM20" s="55"/>
      <c r="BEN20" s="55"/>
      <c r="BEO20" s="55"/>
      <c r="BEP20" s="55"/>
      <c r="BEQ20" s="55"/>
      <c r="BER20" s="55"/>
      <c r="BES20" s="55"/>
      <c r="BET20" s="55"/>
      <c r="BEU20" s="55"/>
      <c r="BEV20" s="55"/>
      <c r="BEW20" s="55"/>
      <c r="BEX20" s="55"/>
      <c r="BEY20" s="55"/>
      <c r="BEZ20" s="55"/>
      <c r="BFA20" s="55"/>
      <c r="BFB20" s="55"/>
      <c r="BFC20" s="55"/>
      <c r="BFD20" s="55"/>
      <c r="BFE20" s="55"/>
      <c r="BFF20" s="55"/>
      <c r="BFG20" s="55"/>
      <c r="BFH20" s="55"/>
      <c r="BFI20" s="55"/>
      <c r="BFJ20" s="55"/>
      <c r="BFK20" s="55"/>
      <c r="BFL20" s="55"/>
      <c r="BFM20" s="55"/>
      <c r="BFN20" s="55"/>
      <c r="BFO20" s="55"/>
      <c r="BFP20" s="55"/>
      <c r="BFQ20" s="55"/>
      <c r="BFR20" s="55"/>
      <c r="BFS20" s="55"/>
      <c r="BFT20" s="55"/>
      <c r="BFU20" s="55"/>
      <c r="BFV20" s="55"/>
      <c r="BFW20" s="55"/>
      <c r="BFX20" s="55"/>
      <c r="BFY20" s="55"/>
      <c r="BFZ20" s="55"/>
      <c r="BGA20" s="55"/>
      <c r="BGB20" s="55"/>
      <c r="BGC20" s="55"/>
      <c r="BGD20" s="55"/>
      <c r="BGE20" s="55"/>
      <c r="BGF20" s="55"/>
      <c r="BGG20" s="55"/>
      <c r="BGH20" s="55"/>
      <c r="BGI20" s="55"/>
      <c r="BGJ20" s="55"/>
      <c r="BGK20" s="55"/>
      <c r="BGL20" s="55"/>
      <c r="BGM20" s="55"/>
      <c r="BGN20" s="55"/>
      <c r="BGO20" s="55"/>
      <c r="BGP20" s="55"/>
      <c r="BGQ20" s="55"/>
      <c r="BGR20" s="55"/>
      <c r="BGS20" s="55"/>
      <c r="BGT20" s="55"/>
      <c r="BGU20" s="55"/>
      <c r="BGV20" s="55"/>
      <c r="BGW20" s="55"/>
      <c r="BGX20" s="55"/>
      <c r="BGY20" s="55"/>
      <c r="BGZ20" s="55"/>
      <c r="BHA20" s="55"/>
      <c r="BHB20" s="55"/>
      <c r="BHC20" s="55"/>
      <c r="BHD20" s="55"/>
      <c r="BHE20" s="55"/>
      <c r="BHF20" s="55"/>
      <c r="BHG20" s="55"/>
      <c r="BHH20" s="55"/>
      <c r="BHI20" s="55"/>
      <c r="BHJ20" s="55"/>
      <c r="BHK20" s="55"/>
      <c r="BHL20" s="55"/>
      <c r="BHM20" s="55"/>
      <c r="BHN20" s="55"/>
      <c r="BHO20" s="55"/>
      <c r="BHP20" s="55"/>
      <c r="BHQ20" s="55"/>
      <c r="BHR20" s="55"/>
      <c r="BHS20" s="55"/>
      <c r="BHT20" s="55"/>
      <c r="BHU20" s="55"/>
      <c r="BHV20" s="55"/>
      <c r="BHW20" s="55"/>
      <c r="BHX20" s="55"/>
      <c r="BHY20" s="55"/>
      <c r="BHZ20" s="55"/>
      <c r="BIA20" s="55"/>
      <c r="BIB20" s="55"/>
      <c r="BIC20" s="55"/>
      <c r="BID20" s="55"/>
      <c r="BIE20" s="55"/>
      <c r="BIF20" s="55"/>
      <c r="BIG20" s="55"/>
      <c r="BIH20" s="55"/>
      <c r="BII20" s="55"/>
      <c r="BIJ20" s="55"/>
      <c r="BIK20" s="55"/>
      <c r="BIL20" s="55"/>
      <c r="BIM20" s="55"/>
      <c r="BIN20" s="55"/>
      <c r="BIO20" s="55"/>
      <c r="BIP20" s="55"/>
      <c r="BIQ20" s="55"/>
      <c r="BIR20" s="55"/>
      <c r="BIS20" s="55"/>
      <c r="BIT20" s="55"/>
      <c r="BIU20" s="55"/>
      <c r="BIV20" s="55"/>
      <c r="BIW20" s="55"/>
      <c r="BIX20" s="55"/>
      <c r="BIY20" s="55"/>
      <c r="BIZ20" s="55"/>
      <c r="BJA20" s="55"/>
      <c r="BJB20" s="55"/>
      <c r="BJC20" s="55"/>
      <c r="BJD20" s="55"/>
      <c r="BJE20" s="55"/>
      <c r="BJF20" s="55"/>
      <c r="BJG20" s="55"/>
      <c r="BJH20" s="55"/>
      <c r="BJI20" s="55"/>
      <c r="BJJ20" s="55"/>
      <c r="BJK20" s="55"/>
      <c r="BJL20" s="55"/>
      <c r="BJM20" s="55"/>
      <c r="BJN20" s="55"/>
      <c r="BJO20" s="55"/>
      <c r="BJP20" s="55"/>
      <c r="BJQ20" s="55"/>
      <c r="BJR20" s="55"/>
      <c r="BJS20" s="55"/>
      <c r="BJT20" s="55"/>
      <c r="BJU20" s="55"/>
      <c r="BJV20" s="55"/>
      <c r="BJW20" s="55"/>
      <c r="BJX20" s="55"/>
      <c r="BJY20" s="55"/>
      <c r="BJZ20" s="55"/>
      <c r="BKA20" s="55"/>
      <c r="BKB20" s="55"/>
      <c r="BKC20" s="55"/>
      <c r="BKD20" s="55"/>
      <c r="BKE20" s="55"/>
      <c r="BKF20" s="55"/>
      <c r="BKG20" s="55"/>
      <c r="BKH20" s="55"/>
      <c r="BKI20" s="55"/>
      <c r="BKJ20" s="55"/>
      <c r="BKK20" s="55"/>
      <c r="BKL20" s="55"/>
      <c r="BKM20" s="55"/>
      <c r="BKN20" s="55"/>
      <c r="BKO20" s="55"/>
      <c r="BKP20" s="55"/>
      <c r="BKQ20" s="55"/>
      <c r="BKR20" s="55"/>
      <c r="BKS20" s="55"/>
      <c r="BKT20" s="55"/>
      <c r="BKU20" s="55"/>
      <c r="BKV20" s="55"/>
      <c r="BKW20" s="55"/>
      <c r="BKX20" s="55"/>
      <c r="BKY20" s="55"/>
      <c r="BKZ20" s="55"/>
      <c r="BLA20" s="55"/>
      <c r="BLB20" s="55"/>
      <c r="BLC20" s="55"/>
      <c r="BLD20" s="55"/>
      <c r="BLE20" s="55"/>
      <c r="BLF20" s="55"/>
      <c r="BLG20" s="55"/>
      <c r="BLH20" s="55"/>
      <c r="BLI20" s="55"/>
      <c r="BLJ20" s="55"/>
      <c r="BLK20" s="55"/>
      <c r="BLL20" s="55"/>
      <c r="BLM20" s="55"/>
      <c r="BLN20" s="55"/>
      <c r="BLO20" s="55"/>
      <c r="BLP20" s="55"/>
      <c r="BLQ20" s="55"/>
      <c r="BLR20" s="55"/>
      <c r="BLS20" s="55"/>
      <c r="BLT20" s="55"/>
      <c r="BLU20" s="55"/>
      <c r="BLV20" s="55"/>
      <c r="BLW20" s="55"/>
      <c r="BLX20" s="55"/>
      <c r="BLY20" s="55"/>
      <c r="BLZ20" s="55"/>
      <c r="BMA20" s="55"/>
      <c r="BMB20" s="55"/>
      <c r="BMC20" s="55"/>
      <c r="BMD20" s="55"/>
      <c r="BME20" s="55"/>
      <c r="BMF20" s="55"/>
      <c r="BMG20" s="55"/>
      <c r="BMH20" s="55"/>
      <c r="BMI20" s="55"/>
      <c r="BMJ20" s="55"/>
      <c r="BMK20" s="55"/>
      <c r="BML20" s="55"/>
      <c r="BMM20" s="55"/>
      <c r="BMN20" s="55"/>
      <c r="BMO20" s="55"/>
      <c r="BMP20" s="55"/>
      <c r="BMQ20" s="55"/>
      <c r="BMR20" s="55"/>
      <c r="BMS20" s="55"/>
      <c r="BMT20" s="55"/>
      <c r="BMU20" s="55"/>
      <c r="BMV20" s="55"/>
      <c r="BMW20" s="55"/>
      <c r="BMX20" s="55"/>
      <c r="BMY20" s="55"/>
      <c r="BMZ20" s="55"/>
      <c r="BNA20" s="55"/>
      <c r="BNB20" s="55"/>
      <c r="BNC20" s="55"/>
      <c r="BND20" s="55"/>
      <c r="BNE20" s="55"/>
      <c r="BNF20" s="55"/>
      <c r="BNG20" s="55"/>
      <c r="BNH20" s="55"/>
      <c r="BNI20" s="55"/>
      <c r="BNJ20" s="55"/>
      <c r="BNK20" s="55"/>
      <c r="BNL20" s="55"/>
      <c r="BNM20" s="55"/>
      <c r="BNN20" s="55"/>
      <c r="BNO20" s="55"/>
      <c r="BNP20" s="55"/>
      <c r="BNQ20" s="55"/>
      <c r="BNR20" s="55"/>
      <c r="BNS20" s="55"/>
      <c r="BNT20" s="55"/>
      <c r="BNU20" s="55"/>
      <c r="BNV20" s="55"/>
      <c r="BNW20" s="55"/>
      <c r="BNX20" s="55"/>
      <c r="BNY20" s="55"/>
      <c r="BNZ20" s="55"/>
      <c r="BOA20" s="55"/>
      <c r="BOB20" s="55"/>
      <c r="BOC20" s="55"/>
      <c r="BOD20" s="55"/>
      <c r="BOE20" s="55"/>
      <c r="BOF20" s="55"/>
      <c r="BOG20" s="55"/>
      <c r="BOH20" s="55"/>
      <c r="BOI20" s="55"/>
      <c r="BOJ20" s="55"/>
      <c r="BOK20" s="55"/>
      <c r="BOL20" s="55"/>
      <c r="BOM20" s="55"/>
      <c r="BON20" s="55"/>
      <c r="BOO20" s="55"/>
      <c r="BOP20" s="55"/>
      <c r="BOQ20" s="55"/>
      <c r="BOR20" s="55"/>
      <c r="BOS20" s="55"/>
      <c r="BOT20" s="55"/>
      <c r="BOU20" s="55"/>
      <c r="BOV20" s="55"/>
      <c r="BOW20" s="55"/>
      <c r="BOX20" s="55"/>
      <c r="BOY20" s="55"/>
      <c r="BOZ20" s="55"/>
      <c r="BPA20" s="55"/>
      <c r="BPB20" s="55"/>
      <c r="BPC20" s="55"/>
      <c r="BPD20" s="55"/>
      <c r="BPE20" s="55"/>
      <c r="BPF20" s="55"/>
      <c r="BPG20" s="55"/>
      <c r="BPH20" s="55"/>
      <c r="BPI20" s="55"/>
      <c r="BPJ20" s="55"/>
      <c r="BPK20" s="55"/>
      <c r="BPL20" s="55"/>
      <c r="BPM20" s="55"/>
      <c r="BPN20" s="55"/>
      <c r="BPO20" s="55"/>
      <c r="BPP20" s="55"/>
      <c r="BPQ20" s="55"/>
      <c r="BPR20" s="55"/>
      <c r="BPS20" s="55"/>
      <c r="BPT20" s="55"/>
      <c r="BPU20" s="55"/>
      <c r="BPV20" s="55"/>
      <c r="BPW20" s="55"/>
      <c r="BPX20" s="55"/>
      <c r="BPY20" s="55"/>
      <c r="BPZ20" s="55"/>
      <c r="BQA20" s="55"/>
      <c r="BQB20" s="55"/>
      <c r="BQC20" s="55"/>
      <c r="BQD20" s="55"/>
      <c r="BQE20" s="55"/>
      <c r="BQF20" s="55"/>
      <c r="BQG20" s="55"/>
      <c r="BQH20" s="55"/>
      <c r="BQI20" s="55"/>
      <c r="BQJ20" s="55"/>
      <c r="BQK20" s="55"/>
      <c r="BQL20" s="55"/>
      <c r="BQM20" s="55"/>
      <c r="BQN20" s="55"/>
      <c r="BQO20" s="55"/>
      <c r="BQP20" s="55"/>
      <c r="BQQ20" s="55"/>
      <c r="BQR20" s="55"/>
      <c r="BQS20" s="55"/>
      <c r="BQT20" s="55"/>
      <c r="BQU20" s="55"/>
      <c r="BQV20" s="55"/>
      <c r="BQW20" s="55"/>
      <c r="BQX20" s="55"/>
      <c r="BQY20" s="55"/>
      <c r="BQZ20" s="55"/>
      <c r="BRA20" s="55"/>
      <c r="BRB20" s="55"/>
      <c r="BRC20" s="55"/>
      <c r="BRD20" s="55"/>
      <c r="BRE20" s="55"/>
      <c r="BRF20" s="55"/>
      <c r="BRG20" s="55"/>
      <c r="BRH20" s="55"/>
      <c r="BRI20" s="55"/>
      <c r="BRJ20" s="55"/>
      <c r="BRK20" s="55"/>
      <c r="BRL20" s="55"/>
      <c r="BRM20" s="55"/>
      <c r="BRN20" s="55"/>
      <c r="BRO20" s="55"/>
      <c r="BRP20" s="55"/>
      <c r="BRQ20" s="55"/>
      <c r="BRR20" s="55"/>
      <c r="BRS20" s="55"/>
      <c r="BRT20" s="55"/>
      <c r="BRU20" s="55"/>
      <c r="BRV20" s="55"/>
      <c r="BRW20" s="55"/>
      <c r="BRX20" s="55"/>
      <c r="BRY20" s="55"/>
      <c r="BRZ20" s="55"/>
      <c r="BSA20" s="55"/>
      <c r="BSB20" s="55"/>
      <c r="BSC20" s="55"/>
      <c r="BSD20" s="55"/>
    </row>
    <row r="21" spans="1:1850">
      <c r="E21" s="62"/>
    </row>
    <row r="22" spans="1:1850">
      <c r="E22" s="62"/>
    </row>
    <row r="23" spans="1:1850">
      <c r="E23" s="62"/>
    </row>
    <row r="65431" spans="3:3" ht="15.75" thickBot="1">
      <c r="C65431" s="64"/>
    </row>
  </sheetData>
  <mergeCells count="8">
    <mergeCell ref="F2:AI2"/>
    <mergeCell ref="AJ2:BN2"/>
    <mergeCell ref="BO2:CR2"/>
    <mergeCell ref="A2:A3"/>
    <mergeCell ref="B2:B3"/>
    <mergeCell ref="E2:E3"/>
    <mergeCell ref="C2:C3"/>
    <mergeCell ref="D2:D3"/>
  </mergeCells>
  <phoneticPr fontId="2" type="noConversion"/>
  <printOptions horizontalCentered="1"/>
  <pageMargins left="0.70866141732283472" right="0.70866141732283472" top="0.98425196850393704" bottom="0.98425196850393704" header="0.51181102362204722" footer="0.51181102362204722"/>
  <pageSetup paperSize="8" scale="23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5</vt:i4>
      </vt:variant>
    </vt:vector>
  </HeadingPairs>
  <TitlesOfParts>
    <vt:vector size="6" baseType="lpstr">
      <vt:lpstr>project_name</vt:lpstr>
      <vt:lpstr>_prj_chart_start_date</vt:lpstr>
      <vt:lpstr>_prj_end_date</vt:lpstr>
      <vt:lpstr>_prj_item</vt:lpstr>
      <vt:lpstr>_prj_start_date</vt:lpstr>
      <vt:lpstr>project_name!Print_Area</vt:lpstr>
    </vt:vector>
  </TitlesOfParts>
  <Company>Inotera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falan</dc:creator>
  <cp:lastModifiedBy>falan</cp:lastModifiedBy>
  <cp:lastPrinted>2013-06-06T09:05:49Z</cp:lastPrinted>
  <dcterms:created xsi:type="dcterms:W3CDTF">2005-12-28T00:40:53Z</dcterms:created>
  <dcterms:modified xsi:type="dcterms:W3CDTF">2013-06-08T09:20:21Z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1018144017</vt:i4>
  </property>
  <property fmtid="{D5CDD505-2E9C-101B-9397-08002B2CF9AE}" pid="3" name="_EmailSubject">
    <vt:lpwstr>HEPA relocation plan material</vt:lpwstr>
  </property>
  <property fmtid="{D5CDD505-2E9C-101B-9397-08002B2CF9AE}" pid="4" name="_AuthorEmail">
    <vt:lpwstr>keithhuang@inotera.com</vt:lpwstr>
  </property>
  <property fmtid="{D5CDD505-2E9C-101B-9397-08002B2CF9AE}" pid="5" name="_AuthorEmailDisplayName">
    <vt:lpwstr>Keith Huang(CAPA-黃啟樞)</vt:lpwstr>
  </property>
  <property fmtid="{D5CDD505-2E9C-101B-9397-08002B2CF9AE}" pid="6" name="_ReviewingToolsShownOnce">
    <vt:lpwstr/>
  </property>
</Properties>
</file>